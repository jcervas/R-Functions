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user/Google Drive/GitHub/R Functions/apportion/"/>
    </mc:Choice>
  </mc:AlternateContent>
  <xr:revisionPtr revIDLastSave="0" documentId="13_ncr:1_{12F7B794-1EFF-7346-A4B0-7922CC83E623}" xr6:coauthVersionLast="46" xr6:coauthVersionMax="46" xr10:uidLastSave="{00000000-0000-0000-0000-000000000000}"/>
  <bookViews>
    <workbookView xWindow="-38400" yWindow="500" windowWidth="38400" windowHeight="21100" xr2:uid="{00000000-000D-0000-FFFF-FFFF00000000}"/>
  </bookViews>
  <sheets>
    <sheet name="pop" sheetId="1" r:id="rId1"/>
  </sheets>
  <calcPr calcId="191029"/>
</workbook>
</file>

<file path=xl/calcChain.xml><?xml version="1.0" encoding="utf-8"?>
<calcChain xmlns="http://schemas.openxmlformats.org/spreadsheetml/2006/main">
  <c r="M3" i="1" l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2" i="1"/>
  <c r="T3" i="1"/>
  <c r="T4" i="1"/>
  <c r="T5" i="1"/>
  <c r="T6" i="1"/>
  <c r="T7" i="1"/>
  <c r="T8" i="1"/>
  <c r="T9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2" i="1"/>
  <c r="O3" i="1"/>
  <c r="O4" i="1"/>
  <c r="O5" i="1"/>
  <c r="O6" i="1"/>
  <c r="O7" i="1"/>
  <c r="O8" i="1"/>
  <c r="O9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2" i="1"/>
  <c r="N3" i="1"/>
  <c r="N4" i="1"/>
  <c r="N5" i="1"/>
  <c r="N6" i="1"/>
  <c r="N7" i="1"/>
  <c r="N8" i="1"/>
  <c r="N9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2" i="1"/>
  <c r="E10" i="1"/>
  <c r="L10" i="1" s="1"/>
  <c r="J24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I4" i="1"/>
  <c r="J4" i="1" s="1"/>
  <c r="I5" i="1"/>
  <c r="J5" i="1" s="1"/>
  <c r="I6" i="1"/>
  <c r="J6" i="1" s="1"/>
  <c r="I7" i="1"/>
  <c r="J7" i="1" s="1"/>
  <c r="I8" i="1"/>
  <c r="J8" i="1" s="1"/>
  <c r="I9" i="1"/>
  <c r="J9" i="1" s="1"/>
  <c r="I11" i="1"/>
  <c r="J11" i="1" s="1"/>
  <c r="I12" i="1"/>
  <c r="J12" i="1" s="1"/>
  <c r="I13" i="1"/>
  <c r="J13" i="1" s="1"/>
  <c r="I14" i="1"/>
  <c r="J14" i="1" s="1"/>
  <c r="I15" i="1"/>
  <c r="J15" i="1" s="1"/>
  <c r="I16" i="1"/>
  <c r="J16" i="1" s="1"/>
  <c r="I17" i="1"/>
  <c r="J17" i="1" s="1"/>
  <c r="I18" i="1"/>
  <c r="J18" i="1" s="1"/>
  <c r="I19" i="1"/>
  <c r="J19" i="1" s="1"/>
  <c r="I20" i="1"/>
  <c r="J20" i="1" s="1"/>
  <c r="I21" i="1"/>
  <c r="J21" i="1" s="1"/>
  <c r="I22" i="1"/>
  <c r="J22" i="1" s="1"/>
  <c r="I23" i="1"/>
  <c r="J23" i="1" s="1"/>
  <c r="I24" i="1"/>
  <c r="I25" i="1"/>
  <c r="J25" i="1" s="1"/>
  <c r="I26" i="1"/>
  <c r="J26" i="1" s="1"/>
  <c r="I27" i="1"/>
  <c r="J27" i="1" s="1"/>
  <c r="I28" i="1"/>
  <c r="J28" i="1" s="1"/>
  <c r="I29" i="1"/>
  <c r="J29" i="1" s="1"/>
  <c r="I30" i="1"/>
  <c r="J30" i="1" s="1"/>
  <c r="I31" i="1"/>
  <c r="J31" i="1" s="1"/>
  <c r="I32" i="1"/>
  <c r="J32" i="1" s="1"/>
  <c r="I33" i="1"/>
  <c r="J33" i="1" s="1"/>
  <c r="I34" i="1"/>
  <c r="J34" i="1" s="1"/>
  <c r="I35" i="1"/>
  <c r="J35" i="1" s="1"/>
  <c r="I36" i="1"/>
  <c r="J36" i="1" s="1"/>
  <c r="I37" i="1"/>
  <c r="J37" i="1" s="1"/>
  <c r="I38" i="1"/>
  <c r="J38" i="1" s="1"/>
  <c r="I39" i="1"/>
  <c r="J39" i="1" s="1"/>
  <c r="I40" i="1"/>
  <c r="J40" i="1" s="1"/>
  <c r="I41" i="1"/>
  <c r="J41" i="1" s="1"/>
  <c r="I42" i="1"/>
  <c r="J42" i="1" s="1"/>
  <c r="I43" i="1"/>
  <c r="J43" i="1" s="1"/>
  <c r="I44" i="1"/>
  <c r="J44" i="1" s="1"/>
  <c r="I45" i="1"/>
  <c r="J45" i="1" s="1"/>
  <c r="I46" i="1"/>
  <c r="J46" i="1" s="1"/>
  <c r="I47" i="1"/>
  <c r="J47" i="1" s="1"/>
  <c r="I48" i="1"/>
  <c r="J48" i="1" s="1"/>
  <c r="I49" i="1"/>
  <c r="J49" i="1" s="1"/>
  <c r="I50" i="1"/>
  <c r="J50" i="1" s="1"/>
  <c r="I51" i="1"/>
  <c r="J51" i="1" s="1"/>
  <c r="I52" i="1"/>
  <c r="J52" i="1" s="1"/>
  <c r="L3" i="1"/>
  <c r="L4" i="1"/>
  <c r="L5" i="1"/>
  <c r="L6" i="1"/>
  <c r="L7" i="1"/>
  <c r="L8" i="1"/>
  <c r="L9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I3" i="1"/>
  <c r="J3" i="1" s="1"/>
  <c r="I2" i="1"/>
  <c r="J2" i="1" s="1"/>
  <c r="G2" i="1"/>
  <c r="L2" i="1"/>
  <c r="O10" i="1" l="1"/>
  <c r="T10" i="1"/>
  <c r="N10" i="1"/>
</calcChain>
</file>

<file path=xl/sharedStrings.xml><?xml version="1.0" encoding="utf-8"?>
<sst xmlns="http://schemas.openxmlformats.org/spreadsheetml/2006/main" count="173" uniqueCount="124">
  <si>
    <t>state</t>
  </si>
  <si>
    <t>pop2010</t>
  </si>
  <si>
    <t>house2010</t>
  </si>
  <si>
    <t>pop2020</t>
  </si>
  <si>
    <t>house2020</t>
  </si>
  <si>
    <t>change</t>
  </si>
  <si>
    <t>ec2010</t>
  </si>
  <si>
    <t>ec2020</t>
  </si>
  <si>
    <t>ec_change</t>
  </si>
  <si>
    <t>2020pres</t>
  </si>
  <si>
    <t>popchange</t>
  </si>
  <si>
    <t>Alabama</t>
  </si>
  <si>
    <t>Trump</t>
  </si>
  <si>
    <t>Alaska</t>
  </si>
  <si>
    <t>Arizona</t>
  </si>
  <si>
    <t>Biden</t>
  </si>
  <si>
    <t>Arkansas</t>
  </si>
  <si>
    <t>California</t>
  </si>
  <si>
    <t>Colorado</t>
  </si>
  <si>
    <t>Connecticut</t>
  </si>
  <si>
    <t>Delaware</t>
  </si>
  <si>
    <t>District of Columbia</t>
  </si>
  <si>
    <t>Florida</t>
  </si>
  <si>
    <t>Georgia</t>
  </si>
  <si>
    <t>Hawaii</t>
  </si>
  <si>
    <t>Idaho</t>
  </si>
  <si>
    <t>Illinois</t>
  </si>
  <si>
    <t>Indiana</t>
  </si>
  <si>
    <t>Iowa</t>
  </si>
  <si>
    <t>Kansas</t>
  </si>
  <si>
    <t>Kentucky</t>
  </si>
  <si>
    <t>Louisiana</t>
  </si>
  <si>
    <t>Maine</t>
  </si>
  <si>
    <t>Maryland</t>
  </si>
  <si>
    <t>Massachusetts</t>
  </si>
  <si>
    <t>Michigan</t>
  </si>
  <si>
    <t>Minnesota</t>
  </si>
  <si>
    <t>Mississippi</t>
  </si>
  <si>
    <t>Missouri</t>
  </si>
  <si>
    <t>Montana</t>
  </si>
  <si>
    <t>Nebraska</t>
  </si>
  <si>
    <t>Nevada</t>
  </si>
  <si>
    <t>New Hampshire</t>
  </si>
  <si>
    <t>New Jersey</t>
  </si>
  <si>
    <t>New Mexico</t>
  </si>
  <si>
    <t>New York</t>
  </si>
  <si>
    <t>North Carolina</t>
  </si>
  <si>
    <t>North Dakota</t>
  </si>
  <si>
    <t>Ohio</t>
  </si>
  <si>
    <t>Oklahoma</t>
  </si>
  <si>
    <t>Oregon</t>
  </si>
  <si>
    <t>Pennsylvania</t>
  </si>
  <si>
    <t>Rhode Island</t>
  </si>
  <si>
    <t>South Carolina</t>
  </si>
  <si>
    <t>South Dakota</t>
  </si>
  <si>
    <t>Tennessee</t>
  </si>
  <si>
    <t>Texas</t>
  </si>
  <si>
    <t>Utah</t>
  </si>
  <si>
    <t>Vermont</t>
  </si>
  <si>
    <t>Virginia</t>
  </si>
  <si>
    <t>Washington</t>
  </si>
  <si>
    <t>West Virginia</t>
  </si>
  <si>
    <t>Wisconsin</t>
  </si>
  <si>
    <t>Wyoming</t>
  </si>
  <si>
    <t>pop2020est</t>
  </si>
  <si>
    <t>popestdiff</t>
  </si>
  <si>
    <t>pop_per_diff</t>
  </si>
  <si>
    <t>WY</t>
  </si>
  <si>
    <t>WI</t>
  </si>
  <si>
    <t>WV</t>
  </si>
  <si>
    <t>WA</t>
  </si>
  <si>
    <t>VT</t>
  </si>
  <si>
    <t>VA</t>
  </si>
  <si>
    <t>UT</t>
  </si>
  <si>
    <t>TX</t>
  </si>
  <si>
    <t>TN</t>
  </si>
  <si>
    <t>SD</t>
  </si>
  <si>
    <t>SC</t>
  </si>
  <si>
    <t>RI</t>
  </si>
  <si>
    <t>PA</t>
  </si>
  <si>
    <t>OR</t>
  </si>
  <si>
    <t>OK</t>
  </si>
  <si>
    <t>OH</t>
  </si>
  <si>
    <t>ND</t>
  </si>
  <si>
    <t>NC</t>
  </si>
  <si>
    <t>NY</t>
  </si>
  <si>
    <t>NM</t>
  </si>
  <si>
    <t>NJ</t>
  </si>
  <si>
    <t>NH</t>
  </si>
  <si>
    <t>NV</t>
  </si>
  <si>
    <t>NE</t>
  </si>
  <si>
    <t>MT</t>
  </si>
  <si>
    <t>MO</t>
  </si>
  <si>
    <t>MS</t>
  </si>
  <si>
    <t>MN</t>
  </si>
  <si>
    <t>MI</t>
  </si>
  <si>
    <t>MA</t>
  </si>
  <si>
    <t>MD</t>
  </si>
  <si>
    <t>ME</t>
  </si>
  <si>
    <t>LA</t>
  </si>
  <si>
    <t>KY</t>
  </si>
  <si>
    <t>KS</t>
  </si>
  <si>
    <t>IA</t>
  </si>
  <si>
    <t>IN</t>
  </si>
  <si>
    <t>IL</t>
  </si>
  <si>
    <t>ID</t>
  </si>
  <si>
    <t>HI</t>
  </si>
  <si>
    <t>GA</t>
  </si>
  <si>
    <t>FL</t>
  </si>
  <si>
    <t>DC</t>
  </si>
  <si>
    <t>DE</t>
  </si>
  <si>
    <t>CT</t>
  </si>
  <si>
    <t>CO</t>
  </si>
  <si>
    <t>CA</t>
  </si>
  <si>
    <t>AR</t>
  </si>
  <si>
    <t>AZ</t>
  </si>
  <si>
    <t>AL</t>
  </si>
  <si>
    <t>AK</t>
  </si>
  <si>
    <t>new_death</t>
  </si>
  <si>
    <t>tot_death</t>
  </si>
  <si>
    <t>tot_cases</t>
  </si>
  <si>
    <t>abv</t>
  </si>
  <si>
    <t>covid_effect</t>
  </si>
  <si>
    <t>popchange_per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</si>
</sst>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rgb="FF00000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9" fontId="1" fillId="0" borderId="0" applyFont="0" applyFill="0" applyBorder="0" applyAlignment="0" applyProtection="0"/>
  </cellStyleXfs>
  <cellXfs count="4">
    <xf numFmtId="0" fontId="0" fillId="0" borderId="0" xfId="0"/>
    <xf numFmtId="0" fontId="0" fillId="0" borderId="0" xfId="0" applyNumberFormat="1"/>
    <xf numFmtId="10" fontId="0" fillId="0" borderId="0" xfId="42" applyNumberFormat="1" applyFont="1"/>
    <xf numFmtId="0" fontId="18" fillId="0" borderId="0" xfId="0" applyFont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Percent" xfId="42" builtinId="5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52"/>
  <sheetViews>
    <sheetView tabSelected="1" workbookViewId="0">
      <selection activeCell="M2" sqref="M2:M52"/>
    </sheetView>
  </sheetViews>
  <sheetFormatPr baseColWidth="10" defaultRowHeight="16" x14ac:dyDescent="0.2"/>
  <sheetData>
    <row r="1" spans="1:20" x14ac:dyDescent="0.2">
      <c r="A1" t="s">
        <v>0</v>
      </c>
      <c r="B1" t="s">
        <v>1</v>
      </c>
      <c r="C1" t="s">
        <v>2</v>
      </c>
      <c r="D1" t="s">
        <v>64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123</v>
      </c>
      <c r="N1" t="s">
        <v>65</v>
      </c>
      <c r="O1" t="s">
        <v>66</v>
      </c>
      <c r="P1" t="s">
        <v>121</v>
      </c>
      <c r="Q1" t="s">
        <v>120</v>
      </c>
      <c r="R1" t="s">
        <v>119</v>
      </c>
      <c r="S1" t="s">
        <v>118</v>
      </c>
      <c r="T1" t="s">
        <v>122</v>
      </c>
    </row>
    <row r="2" spans="1:20" x14ac:dyDescent="0.2">
      <c r="A2" t="s">
        <v>11</v>
      </c>
      <c r="B2">
        <v>4802982</v>
      </c>
      <c r="C2">
        <v>7</v>
      </c>
      <c r="D2">
        <v>4921532</v>
      </c>
      <c r="E2" s="1">
        <v>5030053</v>
      </c>
      <c r="F2">
        <v>7</v>
      </c>
      <c r="G2">
        <f>F2-C2</f>
        <v>0</v>
      </c>
      <c r="H2">
        <v>9</v>
      </c>
      <c r="I2">
        <f>F2+2</f>
        <v>9</v>
      </c>
      <c r="J2">
        <f>I2-H2</f>
        <v>0</v>
      </c>
      <c r="K2" t="s">
        <v>12</v>
      </c>
      <c r="L2">
        <f>E2-B2</f>
        <v>227071</v>
      </c>
      <c r="M2">
        <f>L2/B2*100</f>
        <v>4.7277087442759518</v>
      </c>
      <c r="N2" s="2">
        <f>(E2-D2)/D2</f>
        <v>2.2050247768377815E-2</v>
      </c>
      <c r="O2">
        <f>E2/D2*100</f>
        <v>102.20502477683777</v>
      </c>
      <c r="P2" t="s">
        <v>117</v>
      </c>
      <c r="Q2">
        <v>143</v>
      </c>
      <c r="R2">
        <v>3</v>
      </c>
      <c r="S2">
        <v>0</v>
      </c>
      <c r="T2">
        <f>Q2+E2</f>
        <v>5030196</v>
      </c>
    </row>
    <row r="3" spans="1:20" x14ac:dyDescent="0.2">
      <c r="A3" t="s">
        <v>13</v>
      </c>
      <c r="B3">
        <v>721523</v>
      </c>
      <c r="C3">
        <v>1</v>
      </c>
      <c r="D3">
        <v>731158</v>
      </c>
      <c r="E3" s="1">
        <v>736081</v>
      </c>
      <c r="F3">
        <v>1</v>
      </c>
      <c r="G3">
        <f t="shared" ref="G3:G52" si="0">F3-C3</f>
        <v>0</v>
      </c>
      <c r="H3">
        <v>3</v>
      </c>
      <c r="I3">
        <f t="shared" ref="I3:I52" si="1">F3+2</f>
        <v>3</v>
      </c>
      <c r="J3">
        <f t="shared" ref="J3:J52" si="2">I3-H3</f>
        <v>0</v>
      </c>
      <c r="K3" t="s">
        <v>12</v>
      </c>
      <c r="L3">
        <f t="shared" ref="L3:L52" si="3">E3-B3</f>
        <v>14558</v>
      </c>
      <c r="M3">
        <f t="shared" ref="M3:M52" si="4">L3/B3*100</f>
        <v>2.0176764981850894</v>
      </c>
      <c r="N3" s="2">
        <f t="shared" ref="N3:N52" si="5">(E3-D3)/D3</f>
        <v>6.7331548037496683E-3</v>
      </c>
      <c r="O3">
        <f t="shared" ref="O3:O52" si="6">E3/D3*100</f>
        <v>100.67331548037497</v>
      </c>
      <c r="P3" t="s">
        <v>116</v>
      </c>
      <c r="Q3">
        <v>1106</v>
      </c>
      <c r="R3">
        <v>17</v>
      </c>
      <c r="S3">
        <v>4</v>
      </c>
      <c r="T3">
        <f t="shared" ref="T3:T52" si="7">Q3+E3</f>
        <v>737187</v>
      </c>
    </row>
    <row r="4" spans="1:20" x14ac:dyDescent="0.2">
      <c r="A4" t="s">
        <v>14</v>
      </c>
      <c r="B4">
        <v>6412700</v>
      </c>
      <c r="C4">
        <v>9</v>
      </c>
      <c r="D4">
        <v>7421401</v>
      </c>
      <c r="E4" s="1">
        <v>7158923</v>
      </c>
      <c r="F4">
        <v>9</v>
      </c>
      <c r="G4">
        <f t="shared" si="0"/>
        <v>0</v>
      </c>
      <c r="H4">
        <v>11</v>
      </c>
      <c r="I4">
        <f t="shared" si="1"/>
        <v>11</v>
      </c>
      <c r="J4">
        <f t="shared" si="2"/>
        <v>0</v>
      </c>
      <c r="K4" t="s">
        <v>15</v>
      </c>
      <c r="L4">
        <f t="shared" si="3"/>
        <v>746223</v>
      </c>
      <c r="M4">
        <f t="shared" si="4"/>
        <v>11.636642911722053</v>
      </c>
      <c r="N4" s="2">
        <f t="shared" si="5"/>
        <v>-3.5367715610570026E-2</v>
      </c>
      <c r="O4">
        <f t="shared" si="6"/>
        <v>96.463228438942991</v>
      </c>
      <c r="P4" t="s">
        <v>115</v>
      </c>
      <c r="Q4">
        <v>1413</v>
      </c>
      <c r="R4">
        <v>29</v>
      </c>
      <c r="S4">
        <v>5</v>
      </c>
      <c r="T4">
        <f t="shared" si="7"/>
        <v>7160336</v>
      </c>
    </row>
    <row r="5" spans="1:20" x14ac:dyDescent="0.2">
      <c r="A5" t="s">
        <v>16</v>
      </c>
      <c r="B5">
        <v>2926229</v>
      </c>
      <c r="C5">
        <v>4</v>
      </c>
      <c r="D5">
        <v>3030522</v>
      </c>
      <c r="E5" s="1">
        <v>3013756</v>
      </c>
      <c r="F5">
        <v>4</v>
      </c>
      <c r="G5">
        <f t="shared" si="0"/>
        <v>0</v>
      </c>
      <c r="H5">
        <v>6</v>
      </c>
      <c r="I5">
        <f t="shared" si="1"/>
        <v>6</v>
      </c>
      <c r="J5">
        <f t="shared" si="2"/>
        <v>0</v>
      </c>
      <c r="K5" t="s">
        <v>12</v>
      </c>
      <c r="L5">
        <f t="shared" si="3"/>
        <v>87527</v>
      </c>
      <c r="M5">
        <f t="shared" si="4"/>
        <v>2.9911192869730976</v>
      </c>
      <c r="N5" s="2">
        <f t="shared" si="5"/>
        <v>-5.5323802302045654E-3</v>
      </c>
      <c r="O5">
        <f t="shared" si="6"/>
        <v>99.446761976979545</v>
      </c>
      <c r="P5" t="s">
        <v>114</v>
      </c>
      <c r="Q5">
        <v>614</v>
      </c>
      <c r="R5">
        <v>10</v>
      </c>
      <c r="S5">
        <v>2</v>
      </c>
      <c r="T5">
        <f t="shared" si="7"/>
        <v>3014370</v>
      </c>
    </row>
    <row r="6" spans="1:20" x14ac:dyDescent="0.2">
      <c r="A6" t="s">
        <v>17</v>
      </c>
      <c r="B6">
        <v>37341989</v>
      </c>
      <c r="C6">
        <v>53</v>
      </c>
      <c r="D6">
        <v>39368078</v>
      </c>
      <c r="E6" s="1">
        <v>39576757</v>
      </c>
      <c r="F6">
        <v>52</v>
      </c>
      <c r="G6">
        <f t="shared" si="0"/>
        <v>-1</v>
      </c>
      <c r="H6">
        <v>55</v>
      </c>
      <c r="I6">
        <f t="shared" si="1"/>
        <v>54</v>
      </c>
      <c r="J6">
        <f t="shared" si="2"/>
        <v>-1</v>
      </c>
      <c r="K6" t="s">
        <v>15</v>
      </c>
      <c r="L6">
        <f t="shared" si="3"/>
        <v>2234768</v>
      </c>
      <c r="M6">
        <f t="shared" si="4"/>
        <v>5.9845981958807819</v>
      </c>
      <c r="N6" s="2">
        <f t="shared" si="5"/>
        <v>5.3007159760250422E-3</v>
      </c>
      <c r="O6">
        <f t="shared" si="6"/>
        <v>100.5300715976025</v>
      </c>
      <c r="P6" t="s">
        <v>113</v>
      </c>
      <c r="Q6">
        <v>8155</v>
      </c>
      <c r="R6">
        <v>172</v>
      </c>
      <c r="S6">
        <v>0</v>
      </c>
      <c r="T6">
        <f t="shared" si="7"/>
        <v>39584912</v>
      </c>
    </row>
    <row r="7" spans="1:20" x14ac:dyDescent="0.2">
      <c r="A7" t="s">
        <v>18</v>
      </c>
      <c r="B7">
        <v>5044930</v>
      </c>
      <c r="C7">
        <v>7</v>
      </c>
      <c r="D7">
        <v>5807719</v>
      </c>
      <c r="E7" s="1">
        <v>5782171</v>
      </c>
      <c r="F7">
        <v>8</v>
      </c>
      <c r="G7">
        <f t="shared" si="0"/>
        <v>1</v>
      </c>
      <c r="H7">
        <v>9</v>
      </c>
      <c r="I7">
        <f t="shared" si="1"/>
        <v>10</v>
      </c>
      <c r="J7">
        <f t="shared" si="2"/>
        <v>1</v>
      </c>
      <c r="K7" t="s">
        <v>15</v>
      </c>
      <c r="L7">
        <f t="shared" si="3"/>
        <v>737241</v>
      </c>
      <c r="M7">
        <f t="shared" si="4"/>
        <v>14.613503061489455</v>
      </c>
      <c r="N7" s="2">
        <f t="shared" si="5"/>
        <v>-4.3989731596862725E-3</v>
      </c>
      <c r="O7">
        <f t="shared" si="6"/>
        <v>99.560102684031364</v>
      </c>
      <c r="P7" t="s">
        <v>112</v>
      </c>
      <c r="Q7">
        <v>3342</v>
      </c>
      <c r="R7">
        <v>80</v>
      </c>
      <c r="S7">
        <v>11</v>
      </c>
      <c r="T7">
        <f t="shared" si="7"/>
        <v>5785513</v>
      </c>
    </row>
    <row r="8" spans="1:20" x14ac:dyDescent="0.2">
      <c r="A8" t="s">
        <v>19</v>
      </c>
      <c r="B8">
        <v>3581628</v>
      </c>
      <c r="C8">
        <v>5</v>
      </c>
      <c r="D8">
        <v>3557006</v>
      </c>
      <c r="E8" s="1">
        <v>3608298</v>
      </c>
      <c r="F8">
        <v>5</v>
      </c>
      <c r="G8">
        <f t="shared" si="0"/>
        <v>0</v>
      </c>
      <c r="H8">
        <v>7</v>
      </c>
      <c r="I8">
        <f t="shared" si="1"/>
        <v>7</v>
      </c>
      <c r="J8">
        <f t="shared" si="2"/>
        <v>0</v>
      </c>
      <c r="K8" t="s">
        <v>15</v>
      </c>
      <c r="L8">
        <f t="shared" si="3"/>
        <v>26670</v>
      </c>
      <c r="M8">
        <f t="shared" si="4"/>
        <v>0.74463344601951964</v>
      </c>
      <c r="N8" s="2">
        <f t="shared" si="5"/>
        <v>1.4419992544291464E-2</v>
      </c>
      <c r="O8">
        <f t="shared" si="6"/>
        <v>101.44199925442913</v>
      </c>
      <c r="P8" t="s">
        <v>111</v>
      </c>
      <c r="Q8">
        <v>3557</v>
      </c>
      <c r="R8">
        <v>85</v>
      </c>
      <c r="S8">
        <v>16</v>
      </c>
      <c r="T8">
        <f t="shared" si="7"/>
        <v>3611855</v>
      </c>
    </row>
    <row r="9" spans="1:20" x14ac:dyDescent="0.2">
      <c r="A9" t="s">
        <v>20</v>
      </c>
      <c r="B9">
        <v>900877</v>
      </c>
      <c r="C9">
        <v>1</v>
      </c>
      <c r="D9">
        <v>986809</v>
      </c>
      <c r="E9" s="1">
        <v>990837</v>
      </c>
      <c r="F9">
        <v>1</v>
      </c>
      <c r="G9">
        <f t="shared" si="0"/>
        <v>0</v>
      </c>
      <c r="H9">
        <v>3</v>
      </c>
      <c r="I9">
        <f t="shared" si="1"/>
        <v>3</v>
      </c>
      <c r="J9">
        <f t="shared" si="2"/>
        <v>0</v>
      </c>
      <c r="K9" t="s">
        <v>15</v>
      </c>
      <c r="L9">
        <f t="shared" si="3"/>
        <v>89960</v>
      </c>
      <c r="M9">
        <f t="shared" si="4"/>
        <v>9.9858249239352332</v>
      </c>
      <c r="N9" s="2">
        <f t="shared" si="5"/>
        <v>4.0818435989132653E-3</v>
      </c>
      <c r="O9">
        <f t="shared" si="6"/>
        <v>100.40818435989132</v>
      </c>
      <c r="P9" t="s">
        <v>110</v>
      </c>
      <c r="Q9">
        <v>368</v>
      </c>
      <c r="R9">
        <v>11</v>
      </c>
      <c r="S9">
        <v>1</v>
      </c>
      <c r="T9">
        <f t="shared" si="7"/>
        <v>991205</v>
      </c>
    </row>
    <row r="10" spans="1:20" x14ac:dyDescent="0.2">
      <c r="A10" t="s">
        <v>21</v>
      </c>
      <c r="B10">
        <v>601723</v>
      </c>
      <c r="C10">
        <v>0</v>
      </c>
      <c r="D10">
        <v>712816</v>
      </c>
      <c r="E10" s="1">
        <f>689545+1988</f>
        <v>691533</v>
      </c>
      <c r="F10">
        <v>0</v>
      </c>
      <c r="G10">
        <f t="shared" si="0"/>
        <v>0</v>
      </c>
      <c r="H10">
        <v>3</v>
      </c>
      <c r="I10">
        <v>3</v>
      </c>
      <c r="J10">
        <v>0</v>
      </c>
      <c r="K10" t="s">
        <v>15</v>
      </c>
      <c r="L10">
        <f t="shared" si="3"/>
        <v>89810</v>
      </c>
      <c r="M10">
        <f t="shared" si="4"/>
        <v>14.925472351896138</v>
      </c>
      <c r="N10" s="2">
        <f t="shared" si="5"/>
        <v>-2.9857635069919865E-2</v>
      </c>
      <c r="O10">
        <f t="shared" si="6"/>
        <v>97.014236493008013</v>
      </c>
      <c r="P10" t="s">
        <v>109</v>
      </c>
      <c r="Q10">
        <v>586</v>
      </c>
      <c r="R10">
        <v>11</v>
      </c>
      <c r="S10">
        <v>2</v>
      </c>
      <c r="T10">
        <f t="shared" si="7"/>
        <v>692119</v>
      </c>
    </row>
    <row r="11" spans="1:20" x14ac:dyDescent="0.2">
      <c r="A11" t="s">
        <v>22</v>
      </c>
      <c r="B11">
        <v>18900773</v>
      </c>
      <c r="C11">
        <v>27</v>
      </c>
      <c r="D11">
        <v>21733312</v>
      </c>
      <c r="E11" s="1">
        <v>21570527</v>
      </c>
      <c r="F11">
        <v>28</v>
      </c>
      <c r="G11">
        <f t="shared" si="0"/>
        <v>1</v>
      </c>
      <c r="H11">
        <v>29</v>
      </c>
      <c r="I11">
        <f t="shared" si="1"/>
        <v>30</v>
      </c>
      <c r="J11">
        <f t="shared" si="2"/>
        <v>1</v>
      </c>
      <c r="K11" t="s">
        <v>12</v>
      </c>
      <c r="L11">
        <f t="shared" si="3"/>
        <v>2669754</v>
      </c>
      <c r="M11">
        <f t="shared" si="4"/>
        <v>14.12510483036858</v>
      </c>
      <c r="N11" s="2">
        <f t="shared" si="5"/>
        <v>-7.4901147142230323E-3</v>
      </c>
      <c r="O11">
        <f t="shared" si="6"/>
        <v>99.250988528577693</v>
      </c>
      <c r="P11" t="s">
        <v>108</v>
      </c>
      <c r="Q11">
        <v>7495</v>
      </c>
      <c r="R11">
        <v>101</v>
      </c>
      <c r="S11">
        <v>16</v>
      </c>
      <c r="T11">
        <f t="shared" si="7"/>
        <v>21578022</v>
      </c>
    </row>
    <row r="12" spans="1:20" x14ac:dyDescent="0.2">
      <c r="A12" t="s">
        <v>23</v>
      </c>
      <c r="B12">
        <v>9727566</v>
      </c>
      <c r="C12">
        <v>14</v>
      </c>
      <c r="D12">
        <v>10710017</v>
      </c>
      <c r="E12" s="1">
        <v>10725274</v>
      </c>
      <c r="F12">
        <v>14</v>
      </c>
      <c r="G12">
        <f t="shared" si="0"/>
        <v>0</v>
      </c>
      <c r="H12">
        <v>16</v>
      </c>
      <c r="I12">
        <f t="shared" si="1"/>
        <v>16</v>
      </c>
      <c r="J12">
        <f t="shared" si="2"/>
        <v>0</v>
      </c>
      <c r="K12" t="s">
        <v>15</v>
      </c>
      <c r="L12">
        <f t="shared" si="3"/>
        <v>997708</v>
      </c>
      <c r="M12">
        <f t="shared" si="4"/>
        <v>10.256501986211145</v>
      </c>
      <c r="N12" s="2">
        <f t="shared" si="5"/>
        <v>1.4245542280651841E-3</v>
      </c>
      <c r="O12">
        <f t="shared" si="6"/>
        <v>100.14245542280651</v>
      </c>
      <c r="P12" t="s">
        <v>107</v>
      </c>
      <c r="Q12">
        <v>4806</v>
      </c>
      <c r="R12">
        <v>154</v>
      </c>
      <c r="S12">
        <v>24</v>
      </c>
      <c r="T12">
        <f t="shared" si="7"/>
        <v>10730080</v>
      </c>
    </row>
    <row r="13" spans="1:20" x14ac:dyDescent="0.2">
      <c r="A13" t="s">
        <v>24</v>
      </c>
      <c r="B13">
        <v>1366862</v>
      </c>
      <c r="C13">
        <v>2</v>
      </c>
      <c r="D13">
        <v>1407006</v>
      </c>
      <c r="E13" s="1">
        <v>1460137</v>
      </c>
      <c r="F13">
        <v>2</v>
      </c>
      <c r="G13">
        <f t="shared" si="0"/>
        <v>0</v>
      </c>
      <c r="H13">
        <v>4</v>
      </c>
      <c r="I13">
        <f t="shared" si="1"/>
        <v>4</v>
      </c>
      <c r="J13">
        <f t="shared" si="2"/>
        <v>0</v>
      </c>
      <c r="K13" t="s">
        <v>15</v>
      </c>
      <c r="L13">
        <f t="shared" si="3"/>
        <v>93275</v>
      </c>
      <c r="M13">
        <f t="shared" si="4"/>
        <v>6.8240246637919553</v>
      </c>
      <c r="N13" s="2">
        <f t="shared" si="5"/>
        <v>3.7761743731014652E-2</v>
      </c>
      <c r="O13">
        <f t="shared" si="6"/>
        <v>103.77617437310147</v>
      </c>
      <c r="P13" t="s">
        <v>106</v>
      </c>
      <c r="Q13">
        <v>311</v>
      </c>
      <c r="R13">
        <v>1</v>
      </c>
      <c r="S13">
        <v>0</v>
      </c>
      <c r="T13">
        <f t="shared" si="7"/>
        <v>1460448</v>
      </c>
    </row>
    <row r="14" spans="1:20" x14ac:dyDescent="0.2">
      <c r="A14" t="s">
        <v>25</v>
      </c>
      <c r="B14">
        <v>1573499</v>
      </c>
      <c r="C14">
        <v>2</v>
      </c>
      <c r="D14">
        <v>1826913</v>
      </c>
      <c r="E14" s="1">
        <v>1841377</v>
      </c>
      <c r="F14">
        <v>2</v>
      </c>
      <c r="G14">
        <f t="shared" si="0"/>
        <v>0</v>
      </c>
      <c r="H14">
        <v>4</v>
      </c>
      <c r="I14">
        <f t="shared" si="1"/>
        <v>4</v>
      </c>
      <c r="J14">
        <f t="shared" si="2"/>
        <v>0</v>
      </c>
      <c r="K14" t="s">
        <v>12</v>
      </c>
      <c r="L14">
        <f t="shared" si="3"/>
        <v>267878</v>
      </c>
      <c r="M14">
        <f t="shared" si="4"/>
        <v>17.024351461297403</v>
      </c>
      <c r="N14" s="2">
        <f t="shared" si="5"/>
        <v>7.9171805116061908E-3</v>
      </c>
      <c r="O14">
        <f t="shared" si="6"/>
        <v>100.79171805116063</v>
      </c>
      <c r="P14" t="s">
        <v>105</v>
      </c>
      <c r="Q14">
        <v>669</v>
      </c>
      <c r="R14">
        <v>9</v>
      </c>
      <c r="S14">
        <v>0</v>
      </c>
      <c r="T14">
        <f t="shared" si="7"/>
        <v>1842046</v>
      </c>
    </row>
    <row r="15" spans="1:20" x14ac:dyDescent="0.2">
      <c r="A15" t="s">
        <v>26</v>
      </c>
      <c r="B15">
        <v>12864380</v>
      </c>
      <c r="C15">
        <v>18</v>
      </c>
      <c r="D15">
        <v>12587530</v>
      </c>
      <c r="E15" s="1">
        <v>12822739</v>
      </c>
      <c r="F15">
        <v>17</v>
      </c>
      <c r="G15">
        <f t="shared" si="0"/>
        <v>-1</v>
      </c>
      <c r="H15">
        <v>20</v>
      </c>
      <c r="I15">
        <f t="shared" si="1"/>
        <v>19</v>
      </c>
      <c r="J15">
        <f t="shared" si="2"/>
        <v>-1</v>
      </c>
      <c r="K15" t="s">
        <v>15</v>
      </c>
      <c r="L15">
        <f t="shared" si="3"/>
        <v>-41641</v>
      </c>
      <c r="M15">
        <f t="shared" si="4"/>
        <v>-0.32369224167818428</v>
      </c>
      <c r="N15" s="2">
        <f t="shared" si="5"/>
        <v>1.8685874035652746E-2</v>
      </c>
      <c r="O15">
        <f t="shared" si="6"/>
        <v>101.86858740356529</v>
      </c>
      <c r="P15" t="s">
        <v>104</v>
      </c>
      <c r="Q15">
        <v>6980</v>
      </c>
      <c r="R15">
        <v>141</v>
      </c>
      <c r="S15">
        <v>42</v>
      </c>
      <c r="T15">
        <f t="shared" si="7"/>
        <v>12829719</v>
      </c>
    </row>
    <row r="16" spans="1:20" x14ac:dyDescent="0.2">
      <c r="A16" t="s">
        <v>27</v>
      </c>
      <c r="B16">
        <v>6501582</v>
      </c>
      <c r="C16">
        <v>9</v>
      </c>
      <c r="D16">
        <v>6754953</v>
      </c>
      <c r="E16" s="1">
        <v>6790280</v>
      </c>
      <c r="F16">
        <v>9</v>
      </c>
      <c r="G16">
        <f t="shared" si="0"/>
        <v>0</v>
      </c>
      <c r="H16">
        <v>11</v>
      </c>
      <c r="I16">
        <f t="shared" si="1"/>
        <v>11</v>
      </c>
      <c r="J16">
        <f t="shared" si="2"/>
        <v>0</v>
      </c>
      <c r="K16" t="s">
        <v>12</v>
      </c>
      <c r="L16">
        <f t="shared" si="3"/>
        <v>288698</v>
      </c>
      <c r="M16">
        <f t="shared" si="4"/>
        <v>4.4404269606997193</v>
      </c>
      <c r="N16" s="2">
        <f t="shared" si="5"/>
        <v>5.2297921243863576E-3</v>
      </c>
      <c r="O16">
        <f t="shared" si="6"/>
        <v>100.52297921243864</v>
      </c>
      <c r="P16" t="s">
        <v>103</v>
      </c>
      <c r="Q16">
        <v>2565</v>
      </c>
      <c r="R16">
        <v>65</v>
      </c>
      <c r="S16">
        <v>16</v>
      </c>
      <c r="T16">
        <f t="shared" si="7"/>
        <v>6792845</v>
      </c>
    </row>
    <row r="17" spans="1:20" x14ac:dyDescent="0.2">
      <c r="A17" t="s">
        <v>28</v>
      </c>
      <c r="B17">
        <v>3053787</v>
      </c>
      <c r="C17">
        <v>4</v>
      </c>
      <c r="D17">
        <v>3163561</v>
      </c>
      <c r="E17" s="1">
        <v>3192406</v>
      </c>
      <c r="F17">
        <v>4</v>
      </c>
      <c r="G17">
        <f t="shared" si="0"/>
        <v>0</v>
      </c>
      <c r="H17">
        <v>6</v>
      </c>
      <c r="I17">
        <f t="shared" si="1"/>
        <v>6</v>
      </c>
      <c r="J17">
        <f t="shared" si="2"/>
        <v>0</v>
      </c>
      <c r="K17" t="s">
        <v>12</v>
      </c>
      <c r="L17">
        <f t="shared" si="3"/>
        <v>138619</v>
      </c>
      <c r="M17">
        <f t="shared" si="4"/>
        <v>4.5392491355814926</v>
      </c>
      <c r="N17" s="2">
        <f t="shared" si="5"/>
        <v>9.1178896186923531E-3</v>
      </c>
      <c r="O17">
        <f t="shared" si="6"/>
        <v>100.91178896186923</v>
      </c>
      <c r="P17" t="s">
        <v>102</v>
      </c>
      <c r="Q17">
        <v>549</v>
      </c>
      <c r="R17">
        <v>9</v>
      </c>
      <c r="S17">
        <v>2</v>
      </c>
      <c r="T17">
        <f t="shared" si="7"/>
        <v>3192955</v>
      </c>
    </row>
    <row r="18" spans="1:20" x14ac:dyDescent="0.2">
      <c r="A18" t="s">
        <v>29</v>
      </c>
      <c r="B18">
        <v>2863813</v>
      </c>
      <c r="C18">
        <v>4</v>
      </c>
      <c r="D18">
        <v>2913805</v>
      </c>
      <c r="E18" s="1">
        <v>2940865</v>
      </c>
      <c r="F18">
        <v>4</v>
      </c>
      <c r="G18">
        <f t="shared" si="0"/>
        <v>0</v>
      </c>
      <c r="H18">
        <v>6</v>
      </c>
      <c r="I18">
        <f t="shared" si="1"/>
        <v>6</v>
      </c>
      <c r="J18">
        <f t="shared" si="2"/>
        <v>0</v>
      </c>
      <c r="K18" t="s">
        <v>12</v>
      </c>
      <c r="L18">
        <f t="shared" si="3"/>
        <v>77052</v>
      </c>
      <c r="M18">
        <f t="shared" si="4"/>
        <v>2.6905388026383008</v>
      </c>
      <c r="N18" s="2">
        <f t="shared" si="5"/>
        <v>9.2868259886986267E-3</v>
      </c>
      <c r="O18">
        <f t="shared" si="6"/>
        <v>100.92868259886987</v>
      </c>
      <c r="P18" t="s">
        <v>101</v>
      </c>
      <c r="Q18">
        <v>482</v>
      </c>
      <c r="R18">
        <v>10</v>
      </c>
      <c r="S18">
        <v>1</v>
      </c>
      <c r="T18">
        <f t="shared" si="7"/>
        <v>2941347</v>
      </c>
    </row>
    <row r="19" spans="1:20" x14ac:dyDescent="0.2">
      <c r="A19" t="s">
        <v>30</v>
      </c>
      <c r="B19">
        <v>4350606</v>
      </c>
      <c r="C19">
        <v>6</v>
      </c>
      <c r="D19">
        <v>4477251</v>
      </c>
      <c r="E19" s="1">
        <v>4509342</v>
      </c>
      <c r="F19">
        <v>6</v>
      </c>
      <c r="G19">
        <f t="shared" si="0"/>
        <v>0</v>
      </c>
      <c r="H19">
        <v>8</v>
      </c>
      <c r="I19">
        <f t="shared" si="1"/>
        <v>8</v>
      </c>
      <c r="J19">
        <f t="shared" si="2"/>
        <v>0</v>
      </c>
      <c r="K19" t="s">
        <v>12</v>
      </c>
      <c r="L19">
        <f t="shared" si="3"/>
        <v>158736</v>
      </c>
      <c r="M19">
        <f t="shared" si="4"/>
        <v>3.6485951612258156</v>
      </c>
      <c r="N19" s="2">
        <f t="shared" si="5"/>
        <v>7.1675677776385557E-3</v>
      </c>
      <c r="O19">
        <f t="shared" si="6"/>
        <v>100.71675677776386</v>
      </c>
      <c r="P19" t="s">
        <v>100</v>
      </c>
      <c r="Q19">
        <v>680</v>
      </c>
      <c r="R19">
        <v>20</v>
      </c>
      <c r="S19">
        <v>2</v>
      </c>
      <c r="T19">
        <f t="shared" si="7"/>
        <v>4510022</v>
      </c>
    </row>
    <row r="20" spans="1:20" x14ac:dyDescent="0.2">
      <c r="A20" t="s">
        <v>31</v>
      </c>
      <c r="B20">
        <v>4553962</v>
      </c>
      <c r="C20">
        <v>6</v>
      </c>
      <c r="D20">
        <v>4645318</v>
      </c>
      <c r="E20" s="1">
        <v>4661468</v>
      </c>
      <c r="F20">
        <v>6</v>
      </c>
      <c r="G20">
        <f t="shared" si="0"/>
        <v>0</v>
      </c>
      <c r="H20">
        <v>8</v>
      </c>
      <c r="I20">
        <f t="shared" si="1"/>
        <v>8</v>
      </c>
      <c r="J20">
        <f t="shared" si="2"/>
        <v>0</v>
      </c>
      <c r="K20" t="s">
        <v>12</v>
      </c>
      <c r="L20">
        <f t="shared" si="3"/>
        <v>107506</v>
      </c>
      <c r="M20">
        <f t="shared" si="4"/>
        <v>2.3607135940089092</v>
      </c>
      <c r="N20" s="2">
        <f t="shared" si="5"/>
        <v>3.4766188235121902E-3</v>
      </c>
      <c r="O20">
        <f t="shared" si="6"/>
        <v>100.34766188235122</v>
      </c>
      <c r="P20" t="s">
        <v>99</v>
      </c>
      <c r="Q20">
        <v>6424</v>
      </c>
      <c r="R20">
        <v>273</v>
      </c>
      <c r="S20">
        <v>34</v>
      </c>
      <c r="T20">
        <f t="shared" si="7"/>
        <v>4667892</v>
      </c>
    </row>
    <row r="21" spans="1:20" x14ac:dyDescent="0.2">
      <c r="A21" t="s">
        <v>32</v>
      </c>
      <c r="B21">
        <v>1333074</v>
      </c>
      <c r="C21">
        <v>2</v>
      </c>
      <c r="D21">
        <v>1350141</v>
      </c>
      <c r="E21" s="1">
        <v>1363582</v>
      </c>
      <c r="F21">
        <v>2</v>
      </c>
      <c r="G21">
        <f t="shared" si="0"/>
        <v>0</v>
      </c>
      <c r="H21">
        <v>4</v>
      </c>
      <c r="I21">
        <f t="shared" si="1"/>
        <v>4</v>
      </c>
      <c r="J21">
        <f t="shared" si="2"/>
        <v>0</v>
      </c>
      <c r="K21" t="s">
        <v>15</v>
      </c>
      <c r="L21">
        <f t="shared" si="3"/>
        <v>30508</v>
      </c>
      <c r="M21">
        <f t="shared" si="4"/>
        <v>2.2885451220262341</v>
      </c>
      <c r="N21" s="2">
        <f t="shared" si="5"/>
        <v>9.9552565250592348E-3</v>
      </c>
      <c r="O21">
        <f t="shared" si="6"/>
        <v>100.99552565250592</v>
      </c>
      <c r="P21" t="s">
        <v>98</v>
      </c>
      <c r="Q21">
        <v>344</v>
      </c>
      <c r="R21">
        <v>7</v>
      </c>
      <c r="S21">
        <v>2</v>
      </c>
      <c r="T21">
        <f t="shared" si="7"/>
        <v>1363926</v>
      </c>
    </row>
    <row r="22" spans="1:20" x14ac:dyDescent="0.2">
      <c r="A22" t="s">
        <v>33</v>
      </c>
      <c r="B22">
        <v>5789929</v>
      </c>
      <c r="C22">
        <v>8</v>
      </c>
      <c r="D22">
        <v>6055802</v>
      </c>
      <c r="E22" s="1">
        <v>6185278</v>
      </c>
      <c r="F22">
        <v>8</v>
      </c>
      <c r="G22">
        <f t="shared" si="0"/>
        <v>0</v>
      </c>
      <c r="H22">
        <v>10</v>
      </c>
      <c r="I22">
        <f t="shared" si="1"/>
        <v>10</v>
      </c>
      <c r="J22">
        <f t="shared" si="2"/>
        <v>0</v>
      </c>
      <c r="K22" t="s">
        <v>15</v>
      </c>
      <c r="L22">
        <f t="shared" si="3"/>
        <v>395349</v>
      </c>
      <c r="M22">
        <f t="shared" si="4"/>
        <v>6.8282184462020172</v>
      </c>
      <c r="N22" s="2">
        <f t="shared" si="5"/>
        <v>2.1380487671162299E-2</v>
      </c>
      <c r="O22">
        <f t="shared" si="6"/>
        <v>102.13804876711623</v>
      </c>
      <c r="P22" t="s">
        <v>97</v>
      </c>
      <c r="Q22">
        <v>1985</v>
      </c>
      <c r="R22">
        <v>31</v>
      </c>
      <c r="S22">
        <v>13</v>
      </c>
      <c r="T22">
        <f t="shared" si="7"/>
        <v>6187263</v>
      </c>
    </row>
    <row r="23" spans="1:20" x14ac:dyDescent="0.2">
      <c r="A23" t="s">
        <v>34</v>
      </c>
      <c r="B23">
        <v>6559644</v>
      </c>
      <c r="C23">
        <v>9</v>
      </c>
      <c r="D23">
        <v>6893574</v>
      </c>
      <c r="E23" s="1">
        <v>7033469</v>
      </c>
      <c r="F23">
        <v>9</v>
      </c>
      <c r="G23">
        <f t="shared" si="0"/>
        <v>0</v>
      </c>
      <c r="H23">
        <v>11</v>
      </c>
      <c r="I23">
        <f t="shared" si="1"/>
        <v>11</v>
      </c>
      <c r="J23">
        <f t="shared" si="2"/>
        <v>0</v>
      </c>
      <c r="K23" t="s">
        <v>15</v>
      </c>
      <c r="L23">
        <f t="shared" si="3"/>
        <v>473825</v>
      </c>
      <c r="M23">
        <f t="shared" si="4"/>
        <v>7.223334071178253</v>
      </c>
      <c r="N23" s="2">
        <f t="shared" si="5"/>
        <v>2.0293537140531167E-2</v>
      </c>
      <c r="O23">
        <f t="shared" si="6"/>
        <v>102.0293537140531</v>
      </c>
      <c r="P23" t="s">
        <v>96</v>
      </c>
      <c r="Q23">
        <v>7738</v>
      </c>
      <c r="R23">
        <v>122</v>
      </c>
      <c r="S23">
        <v>33</v>
      </c>
      <c r="T23">
        <f t="shared" si="7"/>
        <v>7041207</v>
      </c>
    </row>
    <row r="24" spans="1:20" x14ac:dyDescent="0.2">
      <c r="A24" t="s">
        <v>35</v>
      </c>
      <c r="B24">
        <v>9911626</v>
      </c>
      <c r="C24">
        <v>14</v>
      </c>
      <c r="D24">
        <v>9966555</v>
      </c>
      <c r="E24" s="1">
        <v>10084442</v>
      </c>
      <c r="F24">
        <v>13</v>
      </c>
      <c r="G24">
        <f t="shared" si="0"/>
        <v>-1</v>
      </c>
      <c r="H24">
        <v>16</v>
      </c>
      <c r="I24">
        <f t="shared" si="1"/>
        <v>15</v>
      </c>
      <c r="J24">
        <f t="shared" si="2"/>
        <v>-1</v>
      </c>
      <c r="K24" t="s">
        <v>15</v>
      </c>
      <c r="L24">
        <f t="shared" si="3"/>
        <v>172816</v>
      </c>
      <c r="M24">
        <f t="shared" si="4"/>
        <v>1.743568613262849</v>
      </c>
      <c r="N24" s="2">
        <f t="shared" si="5"/>
        <v>1.1828259614279959E-2</v>
      </c>
      <c r="O24">
        <f t="shared" si="6"/>
        <v>101.18282596142801</v>
      </c>
      <c r="P24" t="s">
        <v>95</v>
      </c>
      <c r="Q24">
        <v>9334</v>
      </c>
      <c r="R24">
        <v>337</v>
      </c>
      <c r="S24">
        <v>78</v>
      </c>
      <c r="T24">
        <f t="shared" si="7"/>
        <v>10093776</v>
      </c>
    </row>
    <row r="25" spans="1:20" x14ac:dyDescent="0.2">
      <c r="A25" t="s">
        <v>36</v>
      </c>
      <c r="B25">
        <v>5314879</v>
      </c>
      <c r="C25">
        <v>8</v>
      </c>
      <c r="D25">
        <v>5657342</v>
      </c>
      <c r="E25" s="1">
        <v>5709752</v>
      </c>
      <c r="F25">
        <v>8</v>
      </c>
      <c r="G25">
        <f t="shared" si="0"/>
        <v>0</v>
      </c>
      <c r="H25">
        <v>10</v>
      </c>
      <c r="I25">
        <f t="shared" si="1"/>
        <v>10</v>
      </c>
      <c r="J25">
        <f t="shared" si="2"/>
        <v>0</v>
      </c>
      <c r="K25" t="s">
        <v>15</v>
      </c>
      <c r="L25">
        <f t="shared" si="3"/>
        <v>394873</v>
      </c>
      <c r="M25">
        <f t="shared" si="4"/>
        <v>7.4295764776582871</v>
      </c>
      <c r="N25" s="2">
        <f t="shared" si="5"/>
        <v>9.2640678254911936E-3</v>
      </c>
      <c r="O25">
        <f t="shared" si="6"/>
        <v>100.92640678254912</v>
      </c>
      <c r="P25" t="s">
        <v>94</v>
      </c>
      <c r="Q25">
        <v>742</v>
      </c>
      <c r="R25">
        <v>18</v>
      </c>
      <c r="S25">
        <v>1</v>
      </c>
      <c r="T25">
        <f t="shared" si="7"/>
        <v>5710494</v>
      </c>
    </row>
    <row r="26" spans="1:20" x14ac:dyDescent="0.2">
      <c r="A26" t="s">
        <v>37</v>
      </c>
      <c r="B26">
        <v>2978240</v>
      </c>
      <c r="C26">
        <v>4</v>
      </c>
      <c r="D26">
        <v>2966786</v>
      </c>
      <c r="E26" s="1">
        <v>2963914</v>
      </c>
      <c r="F26">
        <v>4</v>
      </c>
      <c r="G26">
        <f t="shared" si="0"/>
        <v>0</v>
      </c>
      <c r="H26">
        <v>6</v>
      </c>
      <c r="I26">
        <f t="shared" si="1"/>
        <v>6</v>
      </c>
      <c r="J26">
        <f t="shared" si="2"/>
        <v>0</v>
      </c>
      <c r="K26" t="s">
        <v>12</v>
      </c>
      <c r="L26">
        <f t="shared" si="3"/>
        <v>-14326</v>
      </c>
      <c r="M26">
        <f t="shared" si="4"/>
        <v>-0.48102234876974315</v>
      </c>
      <c r="N26" s="2">
        <f t="shared" si="5"/>
        <v>-9.6805094806298806E-4</v>
      </c>
      <c r="O26">
        <f t="shared" si="6"/>
        <v>99.9031949051937</v>
      </c>
      <c r="P26" t="s">
        <v>93</v>
      </c>
      <c r="Q26">
        <v>1177</v>
      </c>
      <c r="R26">
        <v>26</v>
      </c>
      <c r="S26">
        <v>4</v>
      </c>
      <c r="T26">
        <f t="shared" si="7"/>
        <v>2965091</v>
      </c>
    </row>
    <row r="27" spans="1:20" x14ac:dyDescent="0.2">
      <c r="A27" t="s">
        <v>38</v>
      </c>
      <c r="B27">
        <v>6011478</v>
      </c>
      <c r="C27">
        <v>8</v>
      </c>
      <c r="D27">
        <v>6151548</v>
      </c>
      <c r="E27" s="1">
        <v>6160281</v>
      </c>
      <c r="F27">
        <v>8</v>
      </c>
      <c r="G27">
        <f t="shared" si="0"/>
        <v>0</v>
      </c>
      <c r="H27">
        <v>10</v>
      </c>
      <c r="I27">
        <f t="shared" si="1"/>
        <v>10</v>
      </c>
      <c r="J27">
        <f t="shared" si="2"/>
        <v>0</v>
      </c>
      <c r="K27" t="s">
        <v>12</v>
      </c>
      <c r="L27">
        <f t="shared" si="3"/>
        <v>148803</v>
      </c>
      <c r="M27">
        <f t="shared" si="4"/>
        <v>2.4753147229350252</v>
      </c>
      <c r="N27" s="2">
        <f t="shared" si="5"/>
        <v>1.4196426655534509E-3</v>
      </c>
      <c r="O27">
        <f t="shared" si="6"/>
        <v>100.14196426655535</v>
      </c>
      <c r="P27" t="s">
        <v>92</v>
      </c>
      <c r="Q27">
        <v>2819</v>
      </c>
      <c r="R27">
        <v>18</v>
      </c>
      <c r="S27">
        <v>4</v>
      </c>
      <c r="T27">
        <f t="shared" si="7"/>
        <v>6163100</v>
      </c>
    </row>
    <row r="28" spans="1:20" x14ac:dyDescent="0.2">
      <c r="A28" t="s">
        <v>39</v>
      </c>
      <c r="B28">
        <v>994416</v>
      </c>
      <c r="C28">
        <v>1</v>
      </c>
      <c r="D28">
        <v>1080577</v>
      </c>
      <c r="E28" s="1">
        <v>1085407</v>
      </c>
      <c r="F28">
        <v>2</v>
      </c>
      <c r="G28">
        <f t="shared" si="0"/>
        <v>1</v>
      </c>
      <c r="H28">
        <v>3</v>
      </c>
      <c r="I28">
        <f t="shared" si="1"/>
        <v>4</v>
      </c>
      <c r="J28">
        <f t="shared" si="2"/>
        <v>1</v>
      </c>
      <c r="K28" t="s">
        <v>12</v>
      </c>
      <c r="L28">
        <f t="shared" si="3"/>
        <v>90991</v>
      </c>
      <c r="M28">
        <f t="shared" si="4"/>
        <v>9.1501946871329505</v>
      </c>
      <c r="N28" s="2">
        <f t="shared" si="5"/>
        <v>4.4698341719285163E-3</v>
      </c>
      <c r="O28">
        <f t="shared" si="6"/>
        <v>100.44698341719285</v>
      </c>
      <c r="P28" t="s">
        <v>91</v>
      </c>
      <c r="Q28">
        <v>228</v>
      </c>
      <c r="R28">
        <v>5</v>
      </c>
      <c r="S28">
        <v>0</v>
      </c>
      <c r="T28">
        <f t="shared" si="7"/>
        <v>1085635</v>
      </c>
    </row>
    <row r="29" spans="1:20" x14ac:dyDescent="0.2">
      <c r="A29" t="s">
        <v>40</v>
      </c>
      <c r="B29">
        <v>1831825</v>
      </c>
      <c r="C29">
        <v>3</v>
      </c>
      <c r="D29">
        <v>1937552</v>
      </c>
      <c r="E29" s="1">
        <v>1963333</v>
      </c>
      <c r="F29">
        <v>3</v>
      </c>
      <c r="G29">
        <f t="shared" si="0"/>
        <v>0</v>
      </c>
      <c r="H29">
        <v>5</v>
      </c>
      <c r="I29">
        <f t="shared" si="1"/>
        <v>5</v>
      </c>
      <c r="J29">
        <f t="shared" si="2"/>
        <v>0</v>
      </c>
      <c r="K29" t="s">
        <v>12</v>
      </c>
      <c r="L29">
        <f t="shared" si="3"/>
        <v>131508</v>
      </c>
      <c r="M29">
        <f t="shared" si="4"/>
        <v>7.1790700530891334</v>
      </c>
      <c r="N29" s="2">
        <f t="shared" si="5"/>
        <v>1.330596546570105E-2</v>
      </c>
      <c r="O29">
        <f t="shared" si="6"/>
        <v>101.33059654657011</v>
      </c>
      <c r="P29" s="3" t="s">
        <v>90</v>
      </c>
      <c r="Q29" s="3">
        <v>214</v>
      </c>
      <c r="R29" s="3">
        <v>4</v>
      </c>
      <c r="S29" s="3">
        <v>1</v>
      </c>
      <c r="T29">
        <f t="shared" si="7"/>
        <v>1963547</v>
      </c>
    </row>
    <row r="30" spans="1:20" x14ac:dyDescent="0.2">
      <c r="A30" t="s">
        <v>41</v>
      </c>
      <c r="B30">
        <v>2709432</v>
      </c>
      <c r="C30">
        <v>4</v>
      </c>
      <c r="D30">
        <v>3138259</v>
      </c>
      <c r="E30" s="1">
        <v>3108462</v>
      </c>
      <c r="F30">
        <v>4</v>
      </c>
      <c r="G30">
        <f t="shared" si="0"/>
        <v>0</v>
      </c>
      <c r="H30">
        <v>6</v>
      </c>
      <c r="I30">
        <f t="shared" si="1"/>
        <v>6</v>
      </c>
      <c r="J30">
        <f t="shared" si="2"/>
        <v>0</v>
      </c>
      <c r="K30" t="s">
        <v>15</v>
      </c>
      <c r="L30">
        <f t="shared" si="3"/>
        <v>399030</v>
      </c>
      <c r="M30">
        <f t="shared" si="4"/>
        <v>14.72744102823027</v>
      </c>
      <c r="N30" s="2">
        <f t="shared" si="5"/>
        <v>-9.4947548943538438E-3</v>
      </c>
      <c r="O30">
        <f t="shared" si="6"/>
        <v>99.050524510564614</v>
      </c>
      <c r="P30" t="s">
        <v>89</v>
      </c>
      <c r="Q30">
        <v>1279</v>
      </c>
      <c r="R30">
        <v>32</v>
      </c>
      <c r="S30">
        <v>6</v>
      </c>
      <c r="T30">
        <f t="shared" si="7"/>
        <v>3109741</v>
      </c>
    </row>
    <row r="31" spans="1:20" x14ac:dyDescent="0.2">
      <c r="A31" t="s">
        <v>42</v>
      </c>
      <c r="B31">
        <v>1321445</v>
      </c>
      <c r="C31">
        <v>2</v>
      </c>
      <c r="D31">
        <v>1366275</v>
      </c>
      <c r="E31" s="1">
        <v>1379089</v>
      </c>
      <c r="F31">
        <v>2</v>
      </c>
      <c r="G31">
        <f t="shared" si="0"/>
        <v>0</v>
      </c>
      <c r="H31">
        <v>4</v>
      </c>
      <c r="I31">
        <f t="shared" si="1"/>
        <v>4</v>
      </c>
      <c r="J31">
        <f t="shared" si="2"/>
        <v>0</v>
      </c>
      <c r="K31" t="s">
        <v>15</v>
      </c>
      <c r="L31">
        <f t="shared" si="3"/>
        <v>57644</v>
      </c>
      <c r="M31">
        <f t="shared" si="4"/>
        <v>4.3621944159613149</v>
      </c>
      <c r="N31" s="2">
        <f t="shared" si="5"/>
        <v>9.3787853836160371E-3</v>
      </c>
      <c r="O31">
        <f t="shared" si="6"/>
        <v>100.9378785383616</v>
      </c>
      <c r="P31" t="s">
        <v>88</v>
      </c>
      <c r="Q31">
        <v>415</v>
      </c>
      <c r="R31">
        <v>4</v>
      </c>
      <c r="S31">
        <v>1</v>
      </c>
      <c r="T31">
        <f t="shared" si="7"/>
        <v>1379504</v>
      </c>
    </row>
    <row r="32" spans="1:20" x14ac:dyDescent="0.2">
      <c r="A32" t="s">
        <v>43</v>
      </c>
      <c r="B32">
        <v>8807501</v>
      </c>
      <c r="C32">
        <v>12</v>
      </c>
      <c r="D32">
        <v>8882371</v>
      </c>
      <c r="E32" s="1">
        <v>9294493</v>
      </c>
      <c r="F32">
        <v>12</v>
      </c>
      <c r="G32">
        <f t="shared" si="0"/>
        <v>0</v>
      </c>
      <c r="H32">
        <v>14</v>
      </c>
      <c r="I32">
        <f t="shared" si="1"/>
        <v>14</v>
      </c>
      <c r="J32">
        <f t="shared" si="2"/>
        <v>0</v>
      </c>
      <c r="K32" t="s">
        <v>15</v>
      </c>
      <c r="L32">
        <f t="shared" si="3"/>
        <v>486992</v>
      </c>
      <c r="M32">
        <f t="shared" si="4"/>
        <v>5.5292869112362295</v>
      </c>
      <c r="N32" s="2">
        <f t="shared" si="5"/>
        <v>4.6397746727759967E-2</v>
      </c>
      <c r="O32">
        <f t="shared" si="6"/>
        <v>104.63977467277599</v>
      </c>
      <c r="P32" t="s">
        <v>87</v>
      </c>
      <c r="Q32">
        <v>22255</v>
      </c>
      <c r="R32">
        <v>355</v>
      </c>
      <c r="S32">
        <v>88</v>
      </c>
      <c r="T32">
        <f t="shared" si="7"/>
        <v>9316748</v>
      </c>
    </row>
    <row r="33" spans="1:20" x14ac:dyDescent="0.2">
      <c r="A33" t="s">
        <v>44</v>
      </c>
      <c r="B33">
        <v>2067273</v>
      </c>
      <c r="C33">
        <v>3</v>
      </c>
      <c r="D33">
        <v>2106319</v>
      </c>
      <c r="E33" s="1">
        <v>2120220</v>
      </c>
      <c r="F33">
        <v>3</v>
      </c>
      <c r="G33">
        <f t="shared" si="0"/>
        <v>0</v>
      </c>
      <c r="H33">
        <v>5</v>
      </c>
      <c r="I33">
        <f t="shared" si="1"/>
        <v>5</v>
      </c>
      <c r="J33">
        <f t="shared" si="2"/>
        <v>0</v>
      </c>
      <c r="K33" t="s">
        <v>15</v>
      </c>
      <c r="L33">
        <f t="shared" si="3"/>
        <v>52947</v>
      </c>
      <c r="M33">
        <f t="shared" si="4"/>
        <v>2.5612001898152785</v>
      </c>
      <c r="N33" s="2">
        <f t="shared" si="5"/>
        <v>6.5996651029592386E-3</v>
      </c>
      <c r="O33">
        <f t="shared" si="6"/>
        <v>100.65996651029592</v>
      </c>
      <c r="P33" t="s">
        <v>86</v>
      </c>
      <c r="Q33">
        <v>363</v>
      </c>
      <c r="R33">
        <v>6</v>
      </c>
      <c r="S33">
        <v>1</v>
      </c>
      <c r="T33">
        <f t="shared" si="7"/>
        <v>2120583</v>
      </c>
    </row>
    <row r="34" spans="1:20" x14ac:dyDescent="0.2">
      <c r="A34" t="s">
        <v>45</v>
      </c>
      <c r="B34">
        <v>19421055</v>
      </c>
      <c r="C34">
        <v>27</v>
      </c>
      <c r="D34">
        <v>19336776</v>
      </c>
      <c r="E34" s="1">
        <v>20215751</v>
      </c>
      <c r="F34">
        <v>26</v>
      </c>
      <c r="G34">
        <f t="shared" si="0"/>
        <v>-1</v>
      </c>
      <c r="H34">
        <v>29</v>
      </c>
      <c r="I34">
        <f t="shared" si="1"/>
        <v>28</v>
      </c>
      <c r="J34">
        <f t="shared" si="2"/>
        <v>-1</v>
      </c>
      <c r="K34" t="s">
        <v>15</v>
      </c>
      <c r="L34">
        <f t="shared" si="3"/>
        <v>794696</v>
      </c>
      <c r="M34">
        <f t="shared" si="4"/>
        <v>4.0919301242903643</v>
      </c>
      <c r="N34" s="2">
        <f t="shared" si="5"/>
        <v>4.5456129811919009E-2</v>
      </c>
      <c r="O34">
        <f t="shared" si="6"/>
        <v>104.54561298119189</v>
      </c>
      <c r="P34" t="s">
        <v>85</v>
      </c>
      <c r="Q34">
        <v>84735</v>
      </c>
      <c r="R34">
        <v>1672</v>
      </c>
      <c r="S34">
        <v>365</v>
      </c>
      <c r="T34">
        <f t="shared" si="7"/>
        <v>20300486</v>
      </c>
    </row>
    <row r="35" spans="1:20" x14ac:dyDescent="0.2">
      <c r="A35" t="s">
        <v>46</v>
      </c>
      <c r="B35">
        <v>9565781</v>
      </c>
      <c r="C35">
        <v>13</v>
      </c>
      <c r="D35">
        <v>10600823</v>
      </c>
      <c r="E35" s="1">
        <v>10453948</v>
      </c>
      <c r="F35">
        <v>14</v>
      </c>
      <c r="G35">
        <f t="shared" si="0"/>
        <v>1</v>
      </c>
      <c r="H35">
        <v>15</v>
      </c>
      <c r="I35">
        <f t="shared" si="1"/>
        <v>16</v>
      </c>
      <c r="J35">
        <f t="shared" si="2"/>
        <v>1</v>
      </c>
      <c r="K35" t="s">
        <v>12</v>
      </c>
      <c r="L35">
        <f t="shared" si="3"/>
        <v>888167</v>
      </c>
      <c r="M35">
        <f t="shared" si="4"/>
        <v>9.2848351849159005</v>
      </c>
      <c r="N35" s="2">
        <f t="shared" si="5"/>
        <v>-1.3855056347983548E-2</v>
      </c>
      <c r="O35">
        <f t="shared" si="6"/>
        <v>98.614494365201637</v>
      </c>
      <c r="P35" t="s">
        <v>84</v>
      </c>
      <c r="Q35">
        <v>1584</v>
      </c>
      <c r="R35">
        <v>9</v>
      </c>
      <c r="S35">
        <v>1</v>
      </c>
      <c r="T35">
        <f t="shared" si="7"/>
        <v>10455532</v>
      </c>
    </row>
    <row r="36" spans="1:20" x14ac:dyDescent="0.2">
      <c r="A36" t="s">
        <v>47</v>
      </c>
      <c r="B36">
        <v>675905</v>
      </c>
      <c r="C36">
        <v>1</v>
      </c>
      <c r="D36">
        <v>765309</v>
      </c>
      <c r="E36" s="1">
        <v>779702</v>
      </c>
      <c r="F36">
        <v>1</v>
      </c>
      <c r="G36">
        <f t="shared" si="0"/>
        <v>0</v>
      </c>
      <c r="H36">
        <v>3</v>
      </c>
      <c r="I36">
        <f t="shared" si="1"/>
        <v>3</v>
      </c>
      <c r="J36">
        <f t="shared" si="2"/>
        <v>0</v>
      </c>
      <c r="K36" t="s">
        <v>12</v>
      </c>
      <c r="L36">
        <f t="shared" si="3"/>
        <v>103797</v>
      </c>
      <c r="M36">
        <f t="shared" si="4"/>
        <v>15.356743921113175</v>
      </c>
      <c r="N36" s="2">
        <f t="shared" si="5"/>
        <v>1.8806782619830684E-2</v>
      </c>
      <c r="O36">
        <f t="shared" si="6"/>
        <v>101.88067826198306</v>
      </c>
      <c r="P36" t="s">
        <v>83</v>
      </c>
      <c r="Q36">
        <v>147</v>
      </c>
      <c r="R36">
        <v>3</v>
      </c>
      <c r="S36">
        <v>0</v>
      </c>
      <c r="T36">
        <f t="shared" si="7"/>
        <v>779849</v>
      </c>
    </row>
    <row r="37" spans="1:20" x14ac:dyDescent="0.2">
      <c r="A37" t="s">
        <v>48</v>
      </c>
      <c r="B37">
        <v>11568495</v>
      </c>
      <c r="C37">
        <v>16</v>
      </c>
      <c r="D37">
        <v>11693217</v>
      </c>
      <c r="E37" s="1">
        <v>11808848</v>
      </c>
      <c r="F37">
        <v>15</v>
      </c>
      <c r="G37">
        <f t="shared" si="0"/>
        <v>-1</v>
      </c>
      <c r="H37">
        <v>18</v>
      </c>
      <c r="I37">
        <f t="shared" si="1"/>
        <v>17</v>
      </c>
      <c r="J37">
        <f t="shared" si="2"/>
        <v>-1</v>
      </c>
      <c r="K37" t="s">
        <v>12</v>
      </c>
      <c r="L37">
        <f t="shared" si="3"/>
        <v>240353</v>
      </c>
      <c r="M37">
        <f t="shared" si="4"/>
        <v>2.0776514144666183</v>
      </c>
      <c r="N37" s="2">
        <f t="shared" si="5"/>
        <v>9.8887243775600854E-3</v>
      </c>
      <c r="O37">
        <f t="shared" si="6"/>
        <v>100.988872437756</v>
      </c>
      <c r="P37" t="s">
        <v>82</v>
      </c>
      <c r="Q37">
        <v>2547</v>
      </c>
      <c r="R37">
        <v>65</v>
      </c>
      <c r="S37">
        <v>10</v>
      </c>
      <c r="T37">
        <f t="shared" si="7"/>
        <v>11811395</v>
      </c>
    </row>
    <row r="38" spans="1:20" x14ac:dyDescent="0.2">
      <c r="A38" t="s">
        <v>49</v>
      </c>
      <c r="B38">
        <v>3764882</v>
      </c>
      <c r="C38">
        <v>5</v>
      </c>
      <c r="D38">
        <v>3980783</v>
      </c>
      <c r="E38" s="1">
        <v>3963516</v>
      </c>
      <c r="F38">
        <v>5</v>
      </c>
      <c r="G38">
        <f t="shared" si="0"/>
        <v>0</v>
      </c>
      <c r="H38">
        <v>7</v>
      </c>
      <c r="I38">
        <f t="shared" si="1"/>
        <v>7</v>
      </c>
      <c r="J38">
        <f t="shared" si="2"/>
        <v>0</v>
      </c>
      <c r="K38" t="s">
        <v>12</v>
      </c>
      <c r="L38">
        <f t="shared" si="3"/>
        <v>198634</v>
      </c>
      <c r="M38">
        <f t="shared" si="4"/>
        <v>5.2759688085841736</v>
      </c>
      <c r="N38" s="2">
        <f t="shared" si="5"/>
        <v>-4.3375888612868377E-3</v>
      </c>
      <c r="O38">
        <f t="shared" si="6"/>
        <v>99.566241113871314</v>
      </c>
      <c r="P38" t="s">
        <v>81</v>
      </c>
      <c r="Q38">
        <v>1744</v>
      </c>
      <c r="R38">
        <v>36</v>
      </c>
      <c r="S38">
        <v>5</v>
      </c>
      <c r="T38">
        <f t="shared" si="7"/>
        <v>3965260</v>
      </c>
    </row>
    <row r="39" spans="1:20" x14ac:dyDescent="0.2">
      <c r="A39" t="s">
        <v>50</v>
      </c>
      <c r="B39">
        <v>3848606</v>
      </c>
      <c r="C39">
        <v>5</v>
      </c>
      <c r="D39">
        <v>4241507</v>
      </c>
      <c r="E39" s="1">
        <v>4241500</v>
      </c>
      <c r="F39">
        <v>6</v>
      </c>
      <c r="G39">
        <f t="shared" si="0"/>
        <v>1</v>
      </c>
      <c r="H39">
        <v>7</v>
      </c>
      <c r="I39">
        <f t="shared" si="1"/>
        <v>8</v>
      </c>
      <c r="J39">
        <f t="shared" si="2"/>
        <v>1</v>
      </c>
      <c r="K39" t="s">
        <v>15</v>
      </c>
      <c r="L39">
        <f t="shared" si="3"/>
        <v>392894</v>
      </c>
      <c r="M39">
        <f t="shared" si="4"/>
        <v>10.208735318710204</v>
      </c>
      <c r="N39" s="2">
        <f t="shared" si="5"/>
        <v>-1.6503568189325161E-6</v>
      </c>
      <c r="O39">
        <f t="shared" si="6"/>
        <v>99.999834964318097</v>
      </c>
      <c r="P39" t="s">
        <v>80</v>
      </c>
      <c r="Q39">
        <v>736</v>
      </c>
      <c r="R39">
        <v>18</v>
      </c>
      <c r="S39">
        <v>0</v>
      </c>
      <c r="T39">
        <f t="shared" si="7"/>
        <v>4242236</v>
      </c>
    </row>
    <row r="40" spans="1:20" x14ac:dyDescent="0.2">
      <c r="A40" t="s">
        <v>51</v>
      </c>
      <c r="B40">
        <v>12734905</v>
      </c>
      <c r="C40">
        <v>18</v>
      </c>
      <c r="D40">
        <v>12783254</v>
      </c>
      <c r="E40" s="1">
        <v>13011844</v>
      </c>
      <c r="F40">
        <v>17</v>
      </c>
      <c r="G40">
        <f t="shared" si="0"/>
        <v>-1</v>
      </c>
      <c r="H40">
        <v>20</v>
      </c>
      <c r="I40">
        <f t="shared" si="1"/>
        <v>19</v>
      </c>
      <c r="J40">
        <f t="shared" si="2"/>
        <v>-1</v>
      </c>
      <c r="K40" t="s">
        <v>15</v>
      </c>
      <c r="L40">
        <f t="shared" si="3"/>
        <v>276939</v>
      </c>
      <c r="M40">
        <f t="shared" si="4"/>
        <v>2.1746451975888319</v>
      </c>
      <c r="N40" s="2">
        <f t="shared" si="5"/>
        <v>1.7881988420162816E-2</v>
      </c>
      <c r="O40">
        <f t="shared" si="6"/>
        <v>101.78819884201629</v>
      </c>
      <c r="P40" t="s">
        <v>79</v>
      </c>
      <c r="Q40">
        <v>5805</v>
      </c>
      <c r="R40">
        <v>74</v>
      </c>
      <c r="S40">
        <v>11</v>
      </c>
      <c r="T40">
        <f t="shared" si="7"/>
        <v>13017649</v>
      </c>
    </row>
    <row r="41" spans="1:20" x14ac:dyDescent="0.2">
      <c r="A41" t="s">
        <v>52</v>
      </c>
      <c r="B41">
        <v>1055247</v>
      </c>
      <c r="C41">
        <v>2</v>
      </c>
      <c r="D41">
        <v>1057125</v>
      </c>
      <c r="E41" s="1">
        <v>1098163</v>
      </c>
      <c r="F41">
        <v>2</v>
      </c>
      <c r="G41">
        <f t="shared" si="0"/>
        <v>0</v>
      </c>
      <c r="H41">
        <v>4</v>
      </c>
      <c r="I41">
        <f t="shared" si="1"/>
        <v>4</v>
      </c>
      <c r="J41">
        <f t="shared" si="2"/>
        <v>0</v>
      </c>
      <c r="K41" t="s">
        <v>15</v>
      </c>
      <c r="L41">
        <f t="shared" si="3"/>
        <v>42916</v>
      </c>
      <c r="M41">
        <f t="shared" si="4"/>
        <v>4.0669151392991401</v>
      </c>
      <c r="N41" s="2">
        <f t="shared" si="5"/>
        <v>3.8820385479484451E-2</v>
      </c>
      <c r="O41">
        <f t="shared" si="6"/>
        <v>103.88203854794844</v>
      </c>
      <c r="P41" t="s">
        <v>78</v>
      </c>
      <c r="Q41">
        <v>682</v>
      </c>
      <c r="R41">
        <v>12</v>
      </c>
      <c r="S41">
        <v>1</v>
      </c>
      <c r="T41">
        <f t="shared" si="7"/>
        <v>1098845</v>
      </c>
    </row>
    <row r="42" spans="1:20" x14ac:dyDescent="0.2">
      <c r="A42" t="s">
        <v>53</v>
      </c>
      <c r="B42">
        <v>4645975</v>
      </c>
      <c r="C42">
        <v>7</v>
      </c>
      <c r="D42">
        <v>5218040</v>
      </c>
      <c r="E42" s="1">
        <v>5124712</v>
      </c>
      <c r="F42">
        <v>7</v>
      </c>
      <c r="G42">
        <f t="shared" si="0"/>
        <v>0</v>
      </c>
      <c r="H42">
        <v>9</v>
      </c>
      <c r="I42">
        <f t="shared" si="1"/>
        <v>9</v>
      </c>
      <c r="J42">
        <f t="shared" si="2"/>
        <v>0</v>
      </c>
      <c r="K42" t="s">
        <v>12</v>
      </c>
      <c r="L42">
        <f t="shared" si="3"/>
        <v>478737</v>
      </c>
      <c r="M42">
        <f t="shared" si="4"/>
        <v>10.304338701779498</v>
      </c>
      <c r="N42" s="2">
        <f t="shared" si="5"/>
        <v>-1.7885642885067957E-2</v>
      </c>
      <c r="O42">
        <f t="shared" si="6"/>
        <v>98.211435711493195</v>
      </c>
      <c r="P42" t="s">
        <v>77</v>
      </c>
      <c r="Q42">
        <v>1349</v>
      </c>
      <c r="R42">
        <v>32</v>
      </c>
      <c r="S42">
        <v>2</v>
      </c>
      <c r="T42">
        <f t="shared" si="7"/>
        <v>5126061</v>
      </c>
    </row>
    <row r="43" spans="1:20" x14ac:dyDescent="0.2">
      <c r="A43" t="s">
        <v>54</v>
      </c>
      <c r="B43">
        <v>819761</v>
      </c>
      <c r="C43">
        <v>1</v>
      </c>
      <c r="D43">
        <v>892717</v>
      </c>
      <c r="E43" s="1">
        <v>887770</v>
      </c>
      <c r="F43">
        <v>1</v>
      </c>
      <c r="G43">
        <f t="shared" si="0"/>
        <v>0</v>
      </c>
      <c r="H43">
        <v>3</v>
      </c>
      <c r="I43">
        <f t="shared" si="1"/>
        <v>3</v>
      </c>
      <c r="J43">
        <f t="shared" si="2"/>
        <v>0</v>
      </c>
      <c r="K43" t="s">
        <v>12</v>
      </c>
      <c r="L43">
        <f t="shared" si="3"/>
        <v>68009</v>
      </c>
      <c r="M43">
        <f t="shared" si="4"/>
        <v>8.2961985261557949</v>
      </c>
      <c r="N43" s="2">
        <f t="shared" si="5"/>
        <v>-5.5415097953774826E-3</v>
      </c>
      <c r="O43">
        <f t="shared" si="6"/>
        <v>99.445849020462248</v>
      </c>
      <c r="P43" t="s">
        <v>76</v>
      </c>
      <c r="Q43">
        <v>129</v>
      </c>
      <c r="R43">
        <v>2</v>
      </c>
      <c r="S43">
        <v>1</v>
      </c>
      <c r="T43">
        <f t="shared" si="7"/>
        <v>887899</v>
      </c>
    </row>
    <row r="44" spans="1:20" x14ac:dyDescent="0.2">
      <c r="A44" t="s">
        <v>55</v>
      </c>
      <c r="B44">
        <v>6375431</v>
      </c>
      <c r="C44">
        <v>9</v>
      </c>
      <c r="D44">
        <v>6886834</v>
      </c>
      <c r="E44" s="1">
        <v>6916897</v>
      </c>
      <c r="F44">
        <v>9</v>
      </c>
      <c r="G44">
        <f t="shared" si="0"/>
        <v>0</v>
      </c>
      <c r="H44">
        <v>11</v>
      </c>
      <c r="I44">
        <f t="shared" si="1"/>
        <v>11</v>
      </c>
      <c r="J44">
        <f t="shared" si="2"/>
        <v>0</v>
      </c>
      <c r="K44" t="s">
        <v>12</v>
      </c>
      <c r="L44">
        <f t="shared" si="3"/>
        <v>541466</v>
      </c>
      <c r="M44">
        <f t="shared" si="4"/>
        <v>8.4930101196295578</v>
      </c>
      <c r="N44" s="2">
        <f t="shared" si="5"/>
        <v>4.3652859935349106E-3</v>
      </c>
      <c r="O44">
        <f t="shared" si="6"/>
        <v>100.43652859935348</v>
      </c>
      <c r="P44" t="s">
        <v>75</v>
      </c>
      <c r="Q44">
        <v>2240</v>
      </c>
      <c r="R44">
        <v>23</v>
      </c>
      <c r="S44">
        <v>0</v>
      </c>
      <c r="T44">
        <f t="shared" si="7"/>
        <v>6919137</v>
      </c>
    </row>
    <row r="45" spans="1:20" x14ac:dyDescent="0.2">
      <c r="A45" t="s">
        <v>56</v>
      </c>
      <c r="B45">
        <v>25268418</v>
      </c>
      <c r="C45">
        <v>36</v>
      </c>
      <c r="D45">
        <v>29360759</v>
      </c>
      <c r="E45" s="1">
        <v>29183290</v>
      </c>
      <c r="F45">
        <v>38</v>
      </c>
      <c r="G45">
        <f t="shared" si="0"/>
        <v>2</v>
      </c>
      <c r="H45">
        <v>38</v>
      </c>
      <c r="I45">
        <f t="shared" si="1"/>
        <v>40</v>
      </c>
      <c r="J45">
        <f t="shared" si="2"/>
        <v>2</v>
      </c>
      <c r="K45" t="s">
        <v>12</v>
      </c>
      <c r="L45">
        <f t="shared" si="3"/>
        <v>3914872</v>
      </c>
      <c r="M45">
        <f t="shared" si="4"/>
        <v>15.493142467407338</v>
      </c>
      <c r="N45" s="2">
        <f t="shared" si="5"/>
        <v>-6.0444282111371851E-3</v>
      </c>
      <c r="O45">
        <f t="shared" si="6"/>
        <v>99.395557178886278</v>
      </c>
      <c r="P45" t="s">
        <v>74</v>
      </c>
      <c r="Q45">
        <v>3996</v>
      </c>
      <c r="R45">
        <v>122</v>
      </c>
      <c r="S45">
        <v>21</v>
      </c>
      <c r="T45">
        <f t="shared" si="7"/>
        <v>29187286</v>
      </c>
    </row>
    <row r="46" spans="1:20" x14ac:dyDescent="0.2">
      <c r="A46" t="s">
        <v>57</v>
      </c>
      <c r="B46">
        <v>2770765</v>
      </c>
      <c r="C46">
        <v>4</v>
      </c>
      <c r="D46">
        <v>3249879</v>
      </c>
      <c r="E46" s="1">
        <v>3275252</v>
      </c>
      <c r="F46">
        <v>4</v>
      </c>
      <c r="G46">
        <f t="shared" si="0"/>
        <v>0</v>
      </c>
      <c r="H46">
        <v>6</v>
      </c>
      <c r="I46">
        <f t="shared" si="1"/>
        <v>6</v>
      </c>
      <c r="J46">
        <f t="shared" si="2"/>
        <v>0</v>
      </c>
      <c r="K46" t="s">
        <v>12</v>
      </c>
      <c r="L46">
        <f t="shared" si="3"/>
        <v>504487</v>
      </c>
      <c r="M46">
        <f t="shared" si="4"/>
        <v>18.207498651094554</v>
      </c>
      <c r="N46" s="2">
        <f t="shared" si="5"/>
        <v>7.8073675973782406E-3</v>
      </c>
      <c r="O46">
        <f t="shared" si="6"/>
        <v>100.78073675973782</v>
      </c>
      <c r="P46" t="s">
        <v>73</v>
      </c>
      <c r="Q46">
        <v>1012</v>
      </c>
      <c r="R46">
        <v>7</v>
      </c>
      <c r="S46">
        <v>2</v>
      </c>
      <c r="T46">
        <f t="shared" si="7"/>
        <v>3276264</v>
      </c>
    </row>
    <row r="47" spans="1:20" x14ac:dyDescent="0.2">
      <c r="A47" t="s">
        <v>58</v>
      </c>
      <c r="B47">
        <v>630337</v>
      </c>
      <c r="C47">
        <v>1</v>
      </c>
      <c r="D47">
        <v>623347</v>
      </c>
      <c r="E47" s="1">
        <v>643503</v>
      </c>
      <c r="F47">
        <v>1</v>
      </c>
      <c r="G47">
        <f t="shared" si="0"/>
        <v>0</v>
      </c>
      <c r="H47">
        <v>3</v>
      </c>
      <c r="I47">
        <f t="shared" si="1"/>
        <v>3</v>
      </c>
      <c r="J47">
        <f t="shared" si="2"/>
        <v>0</v>
      </c>
      <c r="K47" t="s">
        <v>15</v>
      </c>
      <c r="L47">
        <f t="shared" si="3"/>
        <v>13166</v>
      </c>
      <c r="M47">
        <f t="shared" si="4"/>
        <v>2.0887239682899783</v>
      </c>
      <c r="N47" s="2">
        <f t="shared" si="5"/>
        <v>3.233511992517811E-2</v>
      </c>
      <c r="O47">
        <f t="shared" si="6"/>
        <v>103.2335119925178</v>
      </c>
      <c r="P47" t="s">
        <v>72</v>
      </c>
      <c r="Q47">
        <v>1706</v>
      </c>
      <c r="R47">
        <v>41</v>
      </c>
      <c r="S47">
        <v>7</v>
      </c>
      <c r="T47">
        <f t="shared" si="7"/>
        <v>645209</v>
      </c>
    </row>
    <row r="48" spans="1:20" x14ac:dyDescent="0.2">
      <c r="A48" t="s">
        <v>59</v>
      </c>
      <c r="B48">
        <v>8037736</v>
      </c>
      <c r="C48">
        <v>11</v>
      </c>
      <c r="D48">
        <v>8590563</v>
      </c>
      <c r="E48" s="1">
        <v>8654542</v>
      </c>
      <c r="F48">
        <v>11</v>
      </c>
      <c r="G48">
        <f t="shared" si="0"/>
        <v>0</v>
      </c>
      <c r="H48">
        <v>13</v>
      </c>
      <c r="I48">
        <f t="shared" si="1"/>
        <v>13</v>
      </c>
      <c r="J48">
        <f t="shared" si="2"/>
        <v>0</v>
      </c>
      <c r="K48" t="s">
        <v>15</v>
      </c>
      <c r="L48">
        <f t="shared" si="3"/>
        <v>616806</v>
      </c>
      <c r="M48">
        <f t="shared" si="4"/>
        <v>7.6738773206783604</v>
      </c>
      <c r="N48" s="2">
        <f t="shared" si="5"/>
        <v>7.4475910368156312E-3</v>
      </c>
      <c r="O48">
        <f t="shared" si="6"/>
        <v>100.74475910368157</v>
      </c>
      <c r="P48" t="s">
        <v>71</v>
      </c>
      <c r="Q48">
        <v>321</v>
      </c>
      <c r="R48">
        <v>16</v>
      </c>
      <c r="S48">
        <v>3</v>
      </c>
      <c r="T48">
        <f t="shared" si="7"/>
        <v>8654863</v>
      </c>
    </row>
    <row r="49" spans="1:20" x14ac:dyDescent="0.2">
      <c r="A49" t="s">
        <v>60</v>
      </c>
      <c r="B49">
        <v>6753369</v>
      </c>
      <c r="C49">
        <v>10</v>
      </c>
      <c r="D49">
        <v>7693612</v>
      </c>
      <c r="E49" s="1">
        <v>7715946</v>
      </c>
      <c r="F49">
        <v>10</v>
      </c>
      <c r="G49">
        <f t="shared" si="0"/>
        <v>0</v>
      </c>
      <c r="H49">
        <v>12</v>
      </c>
      <c r="I49">
        <f t="shared" si="1"/>
        <v>12</v>
      </c>
      <c r="J49">
        <f t="shared" si="2"/>
        <v>0</v>
      </c>
      <c r="K49" t="s">
        <v>12</v>
      </c>
      <c r="L49">
        <f t="shared" si="3"/>
        <v>962577</v>
      </c>
      <c r="M49">
        <f t="shared" si="4"/>
        <v>14.25328602657429</v>
      </c>
      <c r="N49" s="2">
        <f t="shared" si="5"/>
        <v>2.9029277795656967E-3</v>
      </c>
      <c r="O49">
        <f t="shared" si="6"/>
        <v>100.29029277795658</v>
      </c>
      <c r="P49" t="s">
        <v>70</v>
      </c>
      <c r="Q49">
        <v>5319</v>
      </c>
      <c r="R49">
        <v>246</v>
      </c>
      <c r="S49">
        <v>51</v>
      </c>
      <c r="T49">
        <f t="shared" si="7"/>
        <v>7721265</v>
      </c>
    </row>
    <row r="50" spans="1:20" x14ac:dyDescent="0.2">
      <c r="A50" t="s">
        <v>61</v>
      </c>
      <c r="B50">
        <v>1859815</v>
      </c>
      <c r="C50">
        <v>3</v>
      </c>
      <c r="D50">
        <v>1784787</v>
      </c>
      <c r="E50" s="1">
        <v>1795045</v>
      </c>
      <c r="F50">
        <v>2</v>
      </c>
      <c r="G50">
        <f t="shared" si="0"/>
        <v>-1</v>
      </c>
      <c r="H50">
        <v>5</v>
      </c>
      <c r="I50">
        <f t="shared" si="1"/>
        <v>4</v>
      </c>
      <c r="J50">
        <f t="shared" si="2"/>
        <v>-1</v>
      </c>
      <c r="K50" t="s">
        <v>15</v>
      </c>
      <c r="L50">
        <f t="shared" si="3"/>
        <v>-64770</v>
      </c>
      <c r="M50">
        <f t="shared" si="4"/>
        <v>-3.4826044525934035</v>
      </c>
      <c r="N50" s="2">
        <f t="shared" si="5"/>
        <v>5.7474645433880905E-3</v>
      </c>
      <c r="O50">
        <f t="shared" si="6"/>
        <v>100.57474645433882</v>
      </c>
      <c r="P50" t="s">
        <v>69</v>
      </c>
      <c r="Q50">
        <v>191</v>
      </c>
      <c r="R50">
        <v>2</v>
      </c>
      <c r="S50">
        <v>1</v>
      </c>
      <c r="T50">
        <f t="shared" si="7"/>
        <v>1795236</v>
      </c>
    </row>
    <row r="51" spans="1:20" x14ac:dyDescent="0.2">
      <c r="A51" t="s">
        <v>62</v>
      </c>
      <c r="B51">
        <v>5698230</v>
      </c>
      <c r="C51">
        <v>8</v>
      </c>
      <c r="D51">
        <v>5832655</v>
      </c>
      <c r="E51" s="1">
        <v>5897473</v>
      </c>
      <c r="F51">
        <v>8</v>
      </c>
      <c r="G51">
        <f t="shared" si="0"/>
        <v>0</v>
      </c>
      <c r="H51">
        <v>10</v>
      </c>
      <c r="I51">
        <f t="shared" si="1"/>
        <v>10</v>
      </c>
      <c r="J51">
        <f t="shared" si="2"/>
        <v>0</v>
      </c>
      <c r="K51" t="s">
        <v>15</v>
      </c>
      <c r="L51">
        <f t="shared" si="3"/>
        <v>199243</v>
      </c>
      <c r="M51">
        <f t="shared" si="4"/>
        <v>3.4965770072461098</v>
      </c>
      <c r="N51" s="2">
        <f t="shared" si="5"/>
        <v>1.1112949420118283E-2</v>
      </c>
      <c r="O51">
        <f t="shared" si="6"/>
        <v>101.11129494201182</v>
      </c>
      <c r="P51" t="s">
        <v>68</v>
      </c>
      <c r="Q51">
        <v>1550</v>
      </c>
      <c r="R51">
        <v>24</v>
      </c>
      <c r="S51">
        <v>8</v>
      </c>
      <c r="T51">
        <f t="shared" si="7"/>
        <v>5899023</v>
      </c>
    </row>
    <row r="52" spans="1:20" x14ac:dyDescent="0.2">
      <c r="A52" t="s">
        <v>63</v>
      </c>
      <c r="B52">
        <v>568300</v>
      </c>
      <c r="C52">
        <v>1</v>
      </c>
      <c r="D52">
        <v>582328</v>
      </c>
      <c r="E52" s="1">
        <v>577719</v>
      </c>
      <c r="F52">
        <v>1</v>
      </c>
      <c r="G52">
        <f t="shared" si="0"/>
        <v>0</v>
      </c>
      <c r="H52">
        <v>3</v>
      </c>
      <c r="I52">
        <f t="shared" si="1"/>
        <v>3</v>
      </c>
      <c r="J52">
        <f t="shared" si="2"/>
        <v>0</v>
      </c>
      <c r="K52" t="s">
        <v>12</v>
      </c>
      <c r="L52">
        <f t="shared" si="3"/>
        <v>9419</v>
      </c>
      <c r="M52">
        <f t="shared" si="4"/>
        <v>1.6573992609537216</v>
      </c>
      <c r="N52" s="2">
        <f t="shared" si="5"/>
        <v>-7.914783421027324E-3</v>
      </c>
      <c r="O52">
        <f t="shared" si="6"/>
        <v>99.208521657897265</v>
      </c>
      <c r="P52" t="s">
        <v>67</v>
      </c>
      <c r="Q52">
        <v>137</v>
      </c>
      <c r="R52">
        <v>0</v>
      </c>
      <c r="S52">
        <v>0</v>
      </c>
      <c r="T52">
        <f t="shared" si="7"/>
        <v>577856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pop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Jonathan Cervas</dc:creator>
  <cp:lastModifiedBy>Jonathan Cervas</cp:lastModifiedBy>
  <dcterms:created xsi:type="dcterms:W3CDTF">2021-04-26T21:04:44Z</dcterms:created>
  <dcterms:modified xsi:type="dcterms:W3CDTF">2021-04-27T17:55:05Z</dcterms:modified>
</cp:coreProperties>
</file>