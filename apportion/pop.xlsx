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Google Drive/GitHub/R Functions/apportion/"/>
    </mc:Choice>
  </mc:AlternateContent>
  <xr:revisionPtr revIDLastSave="0" documentId="13_ncr:1_{848E51B3-F7F6-BE46-931F-2DA7DCB26CA6}" xr6:coauthVersionLast="46" xr6:coauthVersionMax="46" xr10:uidLastSave="{00000000-0000-0000-0000-000000000000}"/>
  <bookViews>
    <workbookView xWindow="35840" yWindow="-6380" windowWidth="21600" windowHeight="37900" xr2:uid="{00000000-000D-0000-FFFF-FFFF00000000}"/>
  </bookViews>
  <sheets>
    <sheet name="pop" sheetId="1" r:id="rId1"/>
  </sheets>
  <calcPr calcId="191029"/>
</workbook>
</file>

<file path=xl/calcChain.xml><?xml version="1.0" encoding="utf-8"?>
<calcChain xmlns="http://schemas.openxmlformats.org/spreadsheetml/2006/main">
  <c r="AA3" i="1" l="1"/>
  <c r="AA4" i="1"/>
  <c r="AA5" i="1"/>
  <c r="AA6" i="1"/>
  <c r="AA7" i="1"/>
  <c r="AA8" i="1"/>
  <c r="AA9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2" i="1"/>
  <c r="T3" i="1"/>
  <c r="T4" i="1"/>
  <c r="T5" i="1"/>
  <c r="T6" i="1"/>
  <c r="T7" i="1"/>
  <c r="T8" i="1"/>
  <c r="T9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2" i="1"/>
  <c r="H3" i="1"/>
  <c r="H4" i="1"/>
  <c r="H5" i="1"/>
  <c r="H6" i="1"/>
  <c r="H7" i="1"/>
  <c r="H8" i="1"/>
  <c r="H9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2" i="1"/>
  <c r="D10" i="1"/>
  <c r="F10" i="1" s="1"/>
  <c r="G10" i="1" s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0" i="1"/>
  <c r="N20" i="1" s="1"/>
  <c r="M21" i="1"/>
  <c r="N21" i="1" s="1"/>
  <c r="M22" i="1"/>
  <c r="N22" i="1" s="1"/>
  <c r="M23" i="1"/>
  <c r="N23" i="1" s="1"/>
  <c r="M24" i="1"/>
  <c r="N24" i="1" s="1"/>
  <c r="M25" i="1"/>
  <c r="N25" i="1" s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N38" i="1" s="1"/>
  <c r="M39" i="1"/>
  <c r="N39" i="1" s="1"/>
  <c r="M40" i="1"/>
  <c r="N40" i="1" s="1"/>
  <c r="M41" i="1"/>
  <c r="N41" i="1" s="1"/>
  <c r="M42" i="1"/>
  <c r="N42" i="1" s="1"/>
  <c r="M43" i="1"/>
  <c r="N43" i="1" s="1"/>
  <c r="M44" i="1"/>
  <c r="N44" i="1" s="1"/>
  <c r="M45" i="1"/>
  <c r="N45" i="1" s="1"/>
  <c r="M46" i="1"/>
  <c r="N46" i="1" s="1"/>
  <c r="M47" i="1"/>
  <c r="N47" i="1" s="1"/>
  <c r="M48" i="1"/>
  <c r="N48" i="1" s="1"/>
  <c r="M49" i="1"/>
  <c r="N49" i="1" s="1"/>
  <c r="M50" i="1"/>
  <c r="N50" i="1" s="1"/>
  <c r="M51" i="1"/>
  <c r="N51" i="1" s="1"/>
  <c r="M52" i="1"/>
  <c r="N5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M3" i="1"/>
  <c r="N3" i="1" s="1"/>
  <c r="M2" i="1"/>
  <c r="N2" i="1" s="1"/>
  <c r="K2" i="1"/>
  <c r="F2" i="1"/>
  <c r="G2" i="1" s="1"/>
  <c r="AA10" i="1" l="1"/>
  <c r="H10" i="1"/>
  <c r="T10" i="1"/>
</calcChain>
</file>

<file path=xl/sharedStrings.xml><?xml version="1.0" encoding="utf-8"?>
<sst xmlns="http://schemas.openxmlformats.org/spreadsheetml/2006/main" count="180" uniqueCount="131">
  <si>
    <t>state</t>
  </si>
  <si>
    <t>pop2010</t>
  </si>
  <si>
    <t>pop2020</t>
  </si>
  <si>
    <t>ec2010</t>
  </si>
  <si>
    <t>ec2020</t>
  </si>
  <si>
    <t>ec_change</t>
  </si>
  <si>
    <t>2020pres</t>
  </si>
  <si>
    <t>popchange</t>
  </si>
  <si>
    <t>Alabama</t>
  </si>
  <si>
    <t>Trump</t>
  </si>
  <si>
    <t>Alaska</t>
  </si>
  <si>
    <t>Arizona</t>
  </si>
  <si>
    <t>Biden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</si>
  <si>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</si>
  <si>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</si>
  <si>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</si>
  <si>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</si>
  <si>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</si>
  <si>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</si>
  <si>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</si>
  <si>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</si>
  <si>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</si>
  <si>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</si>
  <si>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</si>
  <si>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</si>
  <si>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</si>
  <si>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</si>
  <si>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</si>
  <si>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</si>
  <si>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</si>
  <si>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</si>
  <si>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</si>
  <si>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</si>
  <si>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</si>
  <si>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</si>
  <si>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</si>
  <si>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</si>
  <si>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</si>
  <si>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</si>
  <si>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</si>
  <si>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</si>
  <si>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</si>
  <si>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</si>
  <si>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</si>
  <si>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</si>
  <si>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</si>
  <si>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</si>
  <si>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</si>
  <si>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</si>
  <si>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</si>
  <si>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</si>
  <si>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</si>
  <si>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</si>
  <si>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</si>
  <si>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</si>
  <si>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</si>
  <si>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</si>
  <si>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</si>
  <si>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</si>
  <si>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</si>
  <si>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</si>
  <si>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popestdiff</t>
  </si>
  <si>
    <t>WY</t>
  </si>
  <si>
    <t>WI</t>
  </si>
  <si>
    <t>WV</t>
  </si>
  <si>
    <t>WA</t>
  </si>
  <si>
    <t>VT</t>
  </si>
  <si>
    <t>VA</t>
  </si>
  <si>
    <t>UT</t>
  </si>
  <si>
    <t>TX</t>
  </si>
  <si>
    <t>TN</t>
  </si>
  <si>
    <t>SD</t>
  </si>
  <si>
    <t>SC</t>
  </si>
  <si>
    <t>RI</t>
  </si>
  <si>
    <t>PA</t>
  </si>
  <si>
    <t>OR</t>
  </si>
  <si>
    <t>OK</t>
  </si>
  <si>
    <t>OH</t>
  </si>
  <si>
    <t>ND</t>
  </si>
  <si>
    <t>NC</t>
  </si>
  <si>
    <t>NY</t>
  </si>
  <si>
    <t>NM</t>
  </si>
  <si>
    <t>NJ</t>
  </si>
  <si>
    <t>NH</t>
  </si>
  <si>
    <t>NV</t>
  </si>
  <si>
    <t>NE</t>
  </si>
  <si>
    <t>MT</t>
  </si>
  <si>
    <t>MO</t>
  </si>
  <si>
    <t>MS</t>
  </si>
  <si>
    <t>MN</t>
  </si>
  <si>
    <t>MI</t>
  </si>
  <si>
    <t>MA</t>
  </si>
  <si>
    <t>MD</t>
  </si>
  <si>
    <t>ME</t>
  </si>
  <si>
    <t>LA</t>
  </si>
  <si>
    <t>KY</t>
  </si>
  <si>
    <t>KS</t>
  </si>
  <si>
    <t>IA</t>
  </si>
  <si>
    <t>IN</t>
  </si>
  <si>
    <t>IL</t>
  </si>
  <si>
    <t>ID</t>
  </si>
  <si>
    <t>HI</t>
  </si>
  <si>
    <t>GA</t>
  </si>
  <si>
    <t>FL</t>
  </si>
  <si>
    <t>DC</t>
  </si>
  <si>
    <t>DE</t>
  </si>
  <si>
    <t>CT</t>
  </si>
  <si>
    <t>CO</t>
  </si>
  <si>
    <t>CA</t>
  </si>
  <si>
    <t>AR</t>
  </si>
  <si>
    <t>AZ</t>
  </si>
  <si>
    <t>AL</t>
  </si>
  <si>
    <t>AK</t>
  </si>
  <si>
    <t>abv</t>
  </si>
  <si>
    <t>popchange_per</t>
  </si>
  <si>
    <t>house_seats_2020</t>
  </si>
  <si>
    <t>house_seats_2010</t>
  </si>
  <si>
    <t>pop2020PEP</t>
  </si>
  <si>
    <t>house_seat_change</t>
  </si>
  <si>
    <t>tot_covid_cases_4_1_20</t>
  </si>
  <si>
    <t>land_area_miles</t>
  </si>
  <si>
    <t>density_per_mile</t>
  </si>
  <si>
    <t>density_rank</t>
  </si>
  <si>
    <t>biden</t>
  </si>
  <si>
    <t>biden_rank</t>
  </si>
  <si>
    <t>tot_covid_death_4_1_20</t>
  </si>
  <si>
    <t>new_covid_death_4_1_20</t>
  </si>
  <si>
    <t>count_funding</t>
  </si>
  <si>
    <t>count_funding_per</t>
  </si>
  <si>
    <t>hispanic_per</t>
  </si>
  <si>
    <t>hispnaic_rank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</si>
</sst>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9" formatCode="0.000"/>
  </numFmts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NumberFormat="1"/>
    <xf numFmtId="10" fontId="0" fillId="0" borderId="0" xfId="42" applyNumberFormat="1" applyFont="1"/>
    <xf numFmtId="0" fontId="18" fillId="0" borderId="0" xfId="0" applyFont="1"/>
    <xf numFmtId="4" fontId="0" fillId="0" borderId="0" xfId="0" applyNumberFormat="1"/>
    <xf numFmtId="0" fontId="0" fillId="0" borderId="0" xfId="43" applyNumberFormat="1" applyFont="1"/>
    <xf numFmtId="169" fontId="0" fillId="0" borderId="0" xfId="42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3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2"/>
  <sheetViews>
    <sheetView tabSelected="1" workbookViewId="0">
      <selection activeCell="A2" sqref="A2"/>
    </sheetView>
  </sheetViews>
  <sheetFormatPr baseColWidth="10" defaultRowHeight="16" x14ac:dyDescent="0.2"/>
  <cols>
    <col min="26" max="26" width="17.1640625" style="5" bestFit="1" customWidth="1"/>
    <col min="27" max="27" width="10.83203125" style="6"/>
  </cols>
  <sheetData>
    <row r="1" spans="1:27" x14ac:dyDescent="0.2">
      <c r="A1" t="s">
        <v>0</v>
      </c>
      <c r="B1" t="s">
        <v>113</v>
      </c>
      <c r="C1" t="s">
        <v>1</v>
      </c>
      <c r="D1" t="s">
        <v>2</v>
      </c>
      <c r="E1" t="s">
        <v>117</v>
      </c>
      <c r="F1" t="s">
        <v>7</v>
      </c>
      <c r="G1" t="s">
        <v>114</v>
      </c>
      <c r="H1" t="s">
        <v>61</v>
      </c>
      <c r="I1" t="s">
        <v>116</v>
      </c>
      <c r="J1" t="s">
        <v>115</v>
      </c>
      <c r="K1" t="s">
        <v>118</v>
      </c>
      <c r="L1" t="s">
        <v>3</v>
      </c>
      <c r="M1" t="s">
        <v>4</v>
      </c>
      <c r="N1" t="s">
        <v>5</v>
      </c>
      <c r="O1" t="s">
        <v>6</v>
      </c>
      <c r="P1" t="s">
        <v>119</v>
      </c>
      <c r="Q1" t="s">
        <v>125</v>
      </c>
      <c r="R1" t="s">
        <v>126</v>
      </c>
      <c r="S1" t="s">
        <v>120</v>
      </c>
      <c r="T1" t="s">
        <v>121</v>
      </c>
      <c r="U1" t="s">
        <v>122</v>
      </c>
      <c r="V1" t="s">
        <v>129</v>
      </c>
      <c r="W1" t="s">
        <v>130</v>
      </c>
      <c r="X1" t="s">
        <v>123</v>
      </c>
      <c r="Y1" t="s">
        <v>124</v>
      </c>
      <c r="Z1" s="5" t="s">
        <v>127</v>
      </c>
      <c r="AA1" s="6" t="s">
        <v>128</v>
      </c>
    </row>
    <row r="2" spans="1:27" x14ac:dyDescent="0.2">
      <c r="A2" t="s">
        <v>8</v>
      </c>
      <c r="B2" t="s">
        <v>112</v>
      </c>
      <c r="C2">
        <v>4802982</v>
      </c>
      <c r="D2" s="1">
        <v>5030053</v>
      </c>
      <c r="E2">
        <v>4921532</v>
      </c>
      <c r="F2">
        <f>D2-C2</f>
        <v>227071</v>
      </c>
      <c r="G2">
        <f>F2/C2*100</f>
        <v>4.7277087442759518</v>
      </c>
      <c r="H2" s="2">
        <f>(D2-E2)/E2</f>
        <v>2.2050247768377815E-2</v>
      </c>
      <c r="I2">
        <v>7</v>
      </c>
      <c r="J2">
        <v>7</v>
      </c>
      <c r="K2">
        <f>J2-I2</f>
        <v>0</v>
      </c>
      <c r="L2">
        <v>9</v>
      </c>
      <c r="M2">
        <f>J2+2</f>
        <v>9</v>
      </c>
      <c r="N2">
        <f>M2-L2</f>
        <v>0</v>
      </c>
      <c r="O2" t="s">
        <v>9</v>
      </c>
      <c r="P2">
        <v>143</v>
      </c>
      <c r="Q2">
        <v>3</v>
      </c>
      <c r="R2">
        <v>0</v>
      </c>
      <c r="S2" s="4">
        <v>50645.33</v>
      </c>
      <c r="T2">
        <f>D2/S2</f>
        <v>99.319186981307055</v>
      </c>
      <c r="U2">
        <v>28</v>
      </c>
      <c r="V2">
        <v>4.5</v>
      </c>
      <c r="W2">
        <v>40</v>
      </c>
      <c r="X2">
        <v>0.3708863</v>
      </c>
      <c r="Y2">
        <v>43</v>
      </c>
      <c r="Z2" s="5">
        <v>1240000</v>
      </c>
      <c r="AA2" s="6">
        <f>Z2/D2</f>
        <v>0.2465182772428044</v>
      </c>
    </row>
    <row r="3" spans="1:27" x14ac:dyDescent="0.2">
      <c r="A3" t="s">
        <v>10</v>
      </c>
      <c r="B3" t="s">
        <v>111</v>
      </c>
      <c r="C3">
        <v>721523</v>
      </c>
      <c r="D3" s="1">
        <v>736081</v>
      </c>
      <c r="E3">
        <v>731158</v>
      </c>
      <c r="F3">
        <f>D3-C3</f>
        <v>14558</v>
      </c>
      <c r="G3">
        <f>F3/C3*100</f>
        <v>2.0176764981850894</v>
      </c>
      <c r="H3" s="2">
        <f>(D3-E3)/E3</f>
        <v>6.7331548037496683E-3</v>
      </c>
      <c r="I3">
        <v>1</v>
      </c>
      <c r="J3">
        <v>1</v>
      </c>
      <c r="K3">
        <f>J3-I3</f>
        <v>0</v>
      </c>
      <c r="L3">
        <v>3</v>
      </c>
      <c r="M3">
        <f>J3+2</f>
        <v>3</v>
      </c>
      <c r="N3">
        <f>M3-L3</f>
        <v>0</v>
      </c>
      <c r="O3" t="s">
        <v>9</v>
      </c>
      <c r="P3">
        <v>1106</v>
      </c>
      <c r="Q3">
        <v>17</v>
      </c>
      <c r="R3">
        <v>4</v>
      </c>
      <c r="S3" s="4">
        <v>570640.94999999995</v>
      </c>
      <c r="T3">
        <f>D3/S3</f>
        <v>1.289919694687176</v>
      </c>
      <c r="U3">
        <v>51</v>
      </c>
      <c r="V3">
        <v>7.2</v>
      </c>
      <c r="W3">
        <v>31</v>
      </c>
      <c r="X3">
        <v>0.44738149999999999</v>
      </c>
      <c r="Y3">
        <v>32</v>
      </c>
      <c r="Z3" s="5">
        <v>600000</v>
      </c>
      <c r="AA3" s="6">
        <f>Z3/D3</f>
        <v>0.81512768295880478</v>
      </c>
    </row>
    <row r="4" spans="1:27" x14ac:dyDescent="0.2">
      <c r="A4" t="s">
        <v>11</v>
      </c>
      <c r="B4" t="s">
        <v>110</v>
      </c>
      <c r="C4">
        <v>6412700</v>
      </c>
      <c r="D4" s="1">
        <v>7158923</v>
      </c>
      <c r="E4">
        <v>7421401</v>
      </c>
      <c r="F4">
        <f>D4-C4</f>
        <v>746223</v>
      </c>
      <c r="G4">
        <f>F4/C4*100</f>
        <v>11.636642911722053</v>
      </c>
      <c r="H4" s="2">
        <f>(D4-E4)/E4</f>
        <v>-3.5367715610570026E-2</v>
      </c>
      <c r="I4">
        <v>9</v>
      </c>
      <c r="J4">
        <v>9</v>
      </c>
      <c r="K4">
        <f>J4-I4</f>
        <v>0</v>
      </c>
      <c r="L4">
        <v>11</v>
      </c>
      <c r="M4">
        <f>J4+2</f>
        <v>11</v>
      </c>
      <c r="N4">
        <f>M4-L4</f>
        <v>0</v>
      </c>
      <c r="O4" t="s">
        <v>12</v>
      </c>
      <c r="P4">
        <v>1413</v>
      </c>
      <c r="Q4">
        <v>29</v>
      </c>
      <c r="R4">
        <v>5</v>
      </c>
      <c r="S4" s="4">
        <v>113594.08</v>
      </c>
      <c r="T4">
        <f>D4/S4</f>
        <v>63.021972623925471</v>
      </c>
      <c r="U4">
        <v>34</v>
      </c>
      <c r="V4">
        <v>31.7</v>
      </c>
      <c r="W4">
        <v>4</v>
      </c>
      <c r="X4">
        <v>0.50156829999999997</v>
      </c>
      <c r="Y4">
        <v>25</v>
      </c>
      <c r="Z4" s="5">
        <v>0</v>
      </c>
      <c r="AA4" s="6">
        <f>Z4/D4</f>
        <v>0</v>
      </c>
    </row>
    <row r="5" spans="1:27" x14ac:dyDescent="0.2">
      <c r="A5" t="s">
        <v>13</v>
      </c>
      <c r="B5" t="s">
        <v>109</v>
      </c>
      <c r="C5">
        <v>2926229</v>
      </c>
      <c r="D5" s="1">
        <v>3013756</v>
      </c>
      <c r="E5">
        <v>3030522</v>
      </c>
      <c r="F5">
        <f>D5-C5</f>
        <v>87527</v>
      </c>
      <c r="G5">
        <f>F5/C5*100</f>
        <v>2.9911192869730976</v>
      </c>
      <c r="H5" s="2">
        <f>(D5-E5)/E5</f>
        <v>-5.5323802302045654E-3</v>
      </c>
      <c r="I5">
        <v>4</v>
      </c>
      <c r="J5">
        <v>4</v>
      </c>
      <c r="K5">
        <f>J5-I5</f>
        <v>0</v>
      </c>
      <c r="L5">
        <v>6</v>
      </c>
      <c r="M5">
        <f>J5+2</f>
        <v>6</v>
      </c>
      <c r="N5">
        <f>M5-L5</f>
        <v>0</v>
      </c>
      <c r="O5" t="s">
        <v>9</v>
      </c>
      <c r="P5">
        <v>614</v>
      </c>
      <c r="Q5">
        <v>10</v>
      </c>
      <c r="R5">
        <v>2</v>
      </c>
      <c r="S5" s="4">
        <v>52035.48</v>
      </c>
      <c r="T5">
        <f>D5/S5</f>
        <v>57.917328714946031</v>
      </c>
      <c r="U5">
        <v>35</v>
      </c>
      <c r="V5">
        <v>7.7</v>
      </c>
      <c r="W5">
        <v>30</v>
      </c>
      <c r="X5">
        <v>0.35787570000000002</v>
      </c>
      <c r="Y5">
        <v>46</v>
      </c>
      <c r="Z5" s="5">
        <v>0</v>
      </c>
      <c r="AA5" s="6">
        <f>Z5/D5</f>
        <v>0</v>
      </c>
    </row>
    <row r="6" spans="1:27" x14ac:dyDescent="0.2">
      <c r="A6" t="s">
        <v>14</v>
      </c>
      <c r="B6" t="s">
        <v>108</v>
      </c>
      <c r="C6">
        <v>37341989</v>
      </c>
      <c r="D6" s="1">
        <v>39576757</v>
      </c>
      <c r="E6">
        <v>39368078</v>
      </c>
      <c r="F6">
        <f>D6-C6</f>
        <v>2234768</v>
      </c>
      <c r="G6">
        <f>F6/C6*100</f>
        <v>5.9845981958807819</v>
      </c>
      <c r="H6" s="2">
        <f>(D6-E6)/E6</f>
        <v>5.3007159760250422E-3</v>
      </c>
      <c r="I6">
        <v>53</v>
      </c>
      <c r="J6">
        <v>52</v>
      </c>
      <c r="K6">
        <f>J6-I6</f>
        <v>-1</v>
      </c>
      <c r="L6">
        <v>55</v>
      </c>
      <c r="M6">
        <f>J6+2</f>
        <v>54</v>
      </c>
      <c r="N6">
        <f>M6-L6</f>
        <v>-1</v>
      </c>
      <c r="O6" t="s">
        <v>12</v>
      </c>
      <c r="P6">
        <v>8155</v>
      </c>
      <c r="Q6">
        <v>172</v>
      </c>
      <c r="R6">
        <v>0</v>
      </c>
      <c r="S6" s="4">
        <v>155779.22</v>
      </c>
      <c r="T6">
        <f>D6/S6</f>
        <v>254.05671565180515</v>
      </c>
      <c r="U6">
        <v>12</v>
      </c>
      <c r="V6">
        <v>39.4</v>
      </c>
      <c r="W6">
        <v>3</v>
      </c>
      <c r="X6">
        <v>0.64908909999999997</v>
      </c>
      <c r="Y6">
        <v>6</v>
      </c>
      <c r="Z6" s="5">
        <v>187000000</v>
      </c>
      <c r="AA6" s="6">
        <f>Z6/D6</f>
        <v>4.7249955320998129</v>
      </c>
    </row>
    <row r="7" spans="1:27" x14ac:dyDescent="0.2">
      <c r="A7" t="s">
        <v>15</v>
      </c>
      <c r="B7" t="s">
        <v>107</v>
      </c>
      <c r="C7">
        <v>5044930</v>
      </c>
      <c r="D7" s="1">
        <v>5782171</v>
      </c>
      <c r="E7">
        <v>5807719</v>
      </c>
      <c r="F7">
        <f>D7-C7</f>
        <v>737241</v>
      </c>
      <c r="G7">
        <f>F7/C7*100</f>
        <v>14.613503061489455</v>
      </c>
      <c r="H7" s="2">
        <f>(D7-E7)/E7</f>
        <v>-4.3989731596862725E-3</v>
      </c>
      <c r="I7">
        <v>7</v>
      </c>
      <c r="J7">
        <v>8</v>
      </c>
      <c r="K7">
        <f>J7-I7</f>
        <v>1</v>
      </c>
      <c r="L7">
        <v>9</v>
      </c>
      <c r="M7">
        <f>J7+2</f>
        <v>10</v>
      </c>
      <c r="N7">
        <f>M7-L7</f>
        <v>1</v>
      </c>
      <c r="O7" t="s">
        <v>12</v>
      </c>
      <c r="P7">
        <v>3342</v>
      </c>
      <c r="Q7">
        <v>80</v>
      </c>
      <c r="R7">
        <v>11</v>
      </c>
      <c r="S7" s="4">
        <v>103641.89</v>
      </c>
      <c r="T7">
        <f>D7/S7</f>
        <v>55.789903098061991</v>
      </c>
      <c r="U7">
        <v>38</v>
      </c>
      <c r="V7">
        <v>21.8</v>
      </c>
      <c r="W7">
        <v>7</v>
      </c>
      <c r="X7">
        <v>0.56938319999999998</v>
      </c>
      <c r="Y7">
        <v>15</v>
      </c>
      <c r="Z7" s="5">
        <v>6000000</v>
      </c>
      <c r="AA7" s="6">
        <f>Z7/D7</f>
        <v>1.0376725281905361</v>
      </c>
    </row>
    <row r="8" spans="1:27" x14ac:dyDescent="0.2">
      <c r="A8" t="s">
        <v>16</v>
      </c>
      <c r="B8" t="s">
        <v>106</v>
      </c>
      <c r="C8">
        <v>3581628</v>
      </c>
      <c r="D8" s="1">
        <v>3608298</v>
      </c>
      <c r="E8">
        <v>3557006</v>
      </c>
      <c r="F8">
        <f>D8-C8</f>
        <v>26670</v>
      </c>
      <c r="G8">
        <f>F8/C8*100</f>
        <v>0.74463344601951964</v>
      </c>
      <c r="H8" s="2">
        <f>(D8-E8)/E8</f>
        <v>1.4419992544291464E-2</v>
      </c>
      <c r="I8">
        <v>5</v>
      </c>
      <c r="J8">
        <v>5</v>
      </c>
      <c r="K8">
        <f>J8-I8</f>
        <v>0</v>
      </c>
      <c r="L8">
        <v>7</v>
      </c>
      <c r="M8">
        <f>J8+2</f>
        <v>7</v>
      </c>
      <c r="N8">
        <f>M8-L8</f>
        <v>0</v>
      </c>
      <c r="O8" t="s">
        <v>12</v>
      </c>
      <c r="P8">
        <v>3557</v>
      </c>
      <c r="Q8">
        <v>85</v>
      </c>
      <c r="R8">
        <v>16</v>
      </c>
      <c r="S8" s="4">
        <v>4842.3599999999997</v>
      </c>
      <c r="T8">
        <f>D8/S8</f>
        <v>745.15277674522349</v>
      </c>
      <c r="U8">
        <v>5</v>
      </c>
      <c r="V8">
        <v>16.899999999999999</v>
      </c>
      <c r="W8">
        <v>11</v>
      </c>
      <c r="X8">
        <v>0.60195050000000005</v>
      </c>
      <c r="Y8">
        <v>9</v>
      </c>
      <c r="Z8" s="5">
        <v>500000</v>
      </c>
      <c r="AA8" s="6">
        <f>Z8/D8</f>
        <v>0.13856948622314455</v>
      </c>
    </row>
    <row r="9" spans="1:27" x14ac:dyDescent="0.2">
      <c r="A9" t="s">
        <v>17</v>
      </c>
      <c r="B9" t="s">
        <v>105</v>
      </c>
      <c r="C9">
        <v>900877</v>
      </c>
      <c r="D9" s="1">
        <v>990837</v>
      </c>
      <c r="E9">
        <v>986809</v>
      </c>
      <c r="F9">
        <f>D9-C9</f>
        <v>89960</v>
      </c>
      <c r="G9">
        <f>F9/C9*100</f>
        <v>9.9858249239352332</v>
      </c>
      <c r="H9" s="2">
        <f>(D9-E9)/E9</f>
        <v>4.0818435989132653E-3</v>
      </c>
      <c r="I9">
        <v>1</v>
      </c>
      <c r="J9">
        <v>1</v>
      </c>
      <c r="K9">
        <f>J9-I9</f>
        <v>0</v>
      </c>
      <c r="L9">
        <v>3</v>
      </c>
      <c r="M9">
        <f>J9+2</f>
        <v>3</v>
      </c>
      <c r="N9">
        <f>M9-L9</f>
        <v>0</v>
      </c>
      <c r="O9" t="s">
        <v>12</v>
      </c>
      <c r="P9">
        <v>368</v>
      </c>
      <c r="Q9">
        <v>11</v>
      </c>
      <c r="R9">
        <v>1</v>
      </c>
      <c r="S9" s="4">
        <v>1948.54</v>
      </c>
      <c r="T9">
        <f>D9/S9</f>
        <v>508.50226323298472</v>
      </c>
      <c r="U9">
        <v>7</v>
      </c>
      <c r="V9">
        <v>9.6</v>
      </c>
      <c r="W9">
        <v>28</v>
      </c>
      <c r="X9">
        <v>0.5962674</v>
      </c>
      <c r="Y9">
        <v>11</v>
      </c>
      <c r="Z9" s="5">
        <v>0</v>
      </c>
      <c r="AA9" s="6">
        <f>Z9/D9</f>
        <v>0</v>
      </c>
    </row>
    <row r="10" spans="1:27" x14ac:dyDescent="0.2">
      <c r="A10" t="s">
        <v>18</v>
      </c>
      <c r="B10" t="s">
        <v>104</v>
      </c>
      <c r="C10">
        <v>601723</v>
      </c>
      <c r="D10" s="1">
        <f>689545+1988</f>
        <v>691533</v>
      </c>
      <c r="E10">
        <v>712816</v>
      </c>
      <c r="F10">
        <f>D10-C10</f>
        <v>89810</v>
      </c>
      <c r="G10">
        <f>F10/C10*100</f>
        <v>14.925472351896138</v>
      </c>
      <c r="H10" s="2">
        <f>(D10-E10)/E10</f>
        <v>-2.9857635069919865E-2</v>
      </c>
      <c r="I10">
        <v>0</v>
      </c>
      <c r="J10">
        <v>0</v>
      </c>
      <c r="K10">
        <f>J10-I10</f>
        <v>0</v>
      </c>
      <c r="L10">
        <v>3</v>
      </c>
      <c r="M10">
        <v>3</v>
      </c>
      <c r="N10">
        <v>0</v>
      </c>
      <c r="O10" t="s">
        <v>12</v>
      </c>
      <c r="P10">
        <v>586</v>
      </c>
      <c r="Q10">
        <v>11</v>
      </c>
      <c r="R10">
        <v>2</v>
      </c>
      <c r="S10">
        <v>61.05</v>
      </c>
      <c r="T10">
        <f>D10/S10</f>
        <v>11327.321867321867</v>
      </c>
      <c r="U10">
        <v>1</v>
      </c>
      <c r="V10">
        <v>11.3</v>
      </c>
      <c r="W10">
        <v>19</v>
      </c>
      <c r="X10">
        <v>0.94466950000000005</v>
      </c>
      <c r="Y10">
        <v>1</v>
      </c>
      <c r="Z10" s="5">
        <v>0</v>
      </c>
      <c r="AA10" s="6">
        <f>Z10/D10</f>
        <v>0</v>
      </c>
    </row>
    <row r="11" spans="1:27" x14ac:dyDescent="0.2">
      <c r="A11" t="s">
        <v>19</v>
      </c>
      <c r="B11" t="s">
        <v>103</v>
      </c>
      <c r="C11">
        <v>18900773</v>
      </c>
      <c r="D11" s="1">
        <v>21570527</v>
      </c>
      <c r="E11">
        <v>21733312</v>
      </c>
      <c r="F11">
        <f>D11-C11</f>
        <v>2669754</v>
      </c>
      <c r="G11">
        <f>F11/C11*100</f>
        <v>14.12510483036858</v>
      </c>
      <c r="H11" s="2">
        <f>(D11-E11)/E11</f>
        <v>-7.4901147142230323E-3</v>
      </c>
      <c r="I11">
        <v>27</v>
      </c>
      <c r="J11">
        <v>28</v>
      </c>
      <c r="K11">
        <f>J11-I11</f>
        <v>1</v>
      </c>
      <c r="L11">
        <v>29</v>
      </c>
      <c r="M11">
        <f>J11+2</f>
        <v>30</v>
      </c>
      <c r="N11">
        <f>M11-L11</f>
        <v>1</v>
      </c>
      <c r="O11" t="s">
        <v>9</v>
      </c>
      <c r="P11">
        <v>7495</v>
      </c>
      <c r="Q11">
        <v>101</v>
      </c>
      <c r="R11">
        <v>16</v>
      </c>
      <c r="S11" s="4">
        <v>53624.76</v>
      </c>
      <c r="T11">
        <f>D11/S11</f>
        <v>402.24939002058005</v>
      </c>
      <c r="U11">
        <v>9</v>
      </c>
      <c r="V11">
        <v>26.4</v>
      </c>
      <c r="W11">
        <v>6</v>
      </c>
      <c r="X11">
        <v>0.4830525</v>
      </c>
      <c r="Y11">
        <v>28</v>
      </c>
      <c r="Z11" s="5">
        <v>0</v>
      </c>
      <c r="AA11" s="6">
        <f>Z11/D11</f>
        <v>0</v>
      </c>
    </row>
    <row r="12" spans="1:27" x14ac:dyDescent="0.2">
      <c r="A12" t="s">
        <v>20</v>
      </c>
      <c r="B12" t="s">
        <v>102</v>
      </c>
      <c r="C12">
        <v>9727566</v>
      </c>
      <c r="D12" s="1">
        <v>10725274</v>
      </c>
      <c r="E12">
        <v>10710017</v>
      </c>
      <c r="F12">
        <f>D12-C12</f>
        <v>997708</v>
      </c>
      <c r="G12">
        <f>F12/C12*100</f>
        <v>10.256501986211145</v>
      </c>
      <c r="H12" s="2">
        <f>(D12-E12)/E12</f>
        <v>1.4245542280651841E-3</v>
      </c>
      <c r="I12">
        <v>14</v>
      </c>
      <c r="J12">
        <v>14</v>
      </c>
      <c r="K12">
        <f>J12-I12</f>
        <v>0</v>
      </c>
      <c r="L12">
        <v>16</v>
      </c>
      <c r="M12">
        <f>J12+2</f>
        <v>16</v>
      </c>
      <c r="N12">
        <f>M12-L12</f>
        <v>0</v>
      </c>
      <c r="O12" t="s">
        <v>12</v>
      </c>
      <c r="P12">
        <v>4806</v>
      </c>
      <c r="Q12">
        <v>154</v>
      </c>
      <c r="R12">
        <v>24</v>
      </c>
      <c r="S12" s="4">
        <v>57513.49</v>
      </c>
      <c r="T12">
        <f>D12/S12</f>
        <v>186.48275387217851</v>
      </c>
      <c r="U12">
        <v>18</v>
      </c>
      <c r="V12">
        <v>9.8000000000000007</v>
      </c>
      <c r="W12">
        <v>25</v>
      </c>
      <c r="X12">
        <v>0.50119329999999995</v>
      </c>
      <c r="Y12">
        <v>26</v>
      </c>
      <c r="Z12" s="5">
        <v>3750886</v>
      </c>
      <c r="AA12" s="6">
        <f>Z12/D12</f>
        <v>0.34972402569855093</v>
      </c>
    </row>
    <row r="13" spans="1:27" x14ac:dyDescent="0.2">
      <c r="A13" t="s">
        <v>21</v>
      </c>
      <c r="B13" t="s">
        <v>101</v>
      </c>
      <c r="C13">
        <v>1366862</v>
      </c>
      <c r="D13" s="1">
        <v>1460137</v>
      </c>
      <c r="E13">
        <v>1407006</v>
      </c>
      <c r="F13">
        <f>D13-C13</f>
        <v>93275</v>
      </c>
      <c r="G13">
        <f>F13/C13*100</f>
        <v>6.8240246637919553</v>
      </c>
      <c r="H13" s="2">
        <f>(D13-E13)/E13</f>
        <v>3.7761743731014652E-2</v>
      </c>
      <c r="I13">
        <v>2</v>
      </c>
      <c r="J13">
        <v>2</v>
      </c>
      <c r="K13">
        <f>J13-I13</f>
        <v>0</v>
      </c>
      <c r="L13">
        <v>4</v>
      </c>
      <c r="M13">
        <f>J13+2</f>
        <v>4</v>
      </c>
      <c r="N13">
        <f>M13-L13</f>
        <v>0</v>
      </c>
      <c r="O13" t="s">
        <v>12</v>
      </c>
      <c r="P13">
        <v>311</v>
      </c>
      <c r="Q13">
        <v>1</v>
      </c>
      <c r="R13">
        <v>0</v>
      </c>
      <c r="S13" s="4">
        <v>6422.63</v>
      </c>
      <c r="T13">
        <f>D13/S13</f>
        <v>227.34253724720247</v>
      </c>
      <c r="U13">
        <v>14</v>
      </c>
      <c r="V13">
        <v>10.7</v>
      </c>
      <c r="W13">
        <v>22</v>
      </c>
      <c r="X13">
        <v>0.65032659999999998</v>
      </c>
      <c r="Y13">
        <v>5</v>
      </c>
      <c r="Z13" s="5">
        <v>750000</v>
      </c>
      <c r="AA13" s="6">
        <f>Z13/D13</f>
        <v>0.51365043143211908</v>
      </c>
    </row>
    <row r="14" spans="1:27" x14ac:dyDescent="0.2">
      <c r="A14" t="s">
        <v>22</v>
      </c>
      <c r="B14" t="s">
        <v>100</v>
      </c>
      <c r="C14">
        <v>1573499</v>
      </c>
      <c r="D14" s="1">
        <v>1841377</v>
      </c>
      <c r="E14">
        <v>1826913</v>
      </c>
      <c r="F14">
        <f>D14-C14</f>
        <v>267878</v>
      </c>
      <c r="G14">
        <f>F14/C14*100</f>
        <v>17.024351461297403</v>
      </c>
      <c r="H14" s="2">
        <f>(D14-E14)/E14</f>
        <v>7.9171805116061908E-3</v>
      </c>
      <c r="I14">
        <v>2</v>
      </c>
      <c r="J14">
        <v>2</v>
      </c>
      <c r="K14">
        <f>J14-I14</f>
        <v>0</v>
      </c>
      <c r="L14">
        <v>4</v>
      </c>
      <c r="M14">
        <f>J14+2</f>
        <v>4</v>
      </c>
      <c r="N14">
        <f>M14-L14</f>
        <v>0</v>
      </c>
      <c r="O14" t="s">
        <v>9</v>
      </c>
      <c r="P14">
        <v>669</v>
      </c>
      <c r="Q14">
        <v>9</v>
      </c>
      <c r="R14">
        <v>0</v>
      </c>
      <c r="S14" s="4">
        <v>82643.12</v>
      </c>
      <c r="T14">
        <f>D14/S14</f>
        <v>22.281068284934065</v>
      </c>
      <c r="U14">
        <v>45</v>
      </c>
      <c r="V14">
        <v>12.8</v>
      </c>
      <c r="W14">
        <v>16</v>
      </c>
      <c r="X14">
        <v>0.34122859999999999</v>
      </c>
      <c r="Y14">
        <v>47</v>
      </c>
      <c r="Z14" s="5">
        <v>0</v>
      </c>
      <c r="AA14" s="6">
        <f>Z14/D14</f>
        <v>0</v>
      </c>
    </row>
    <row r="15" spans="1:27" x14ac:dyDescent="0.2">
      <c r="A15" t="s">
        <v>23</v>
      </c>
      <c r="B15" t="s">
        <v>99</v>
      </c>
      <c r="C15">
        <v>12864380</v>
      </c>
      <c r="D15" s="1">
        <v>12822739</v>
      </c>
      <c r="E15">
        <v>12587530</v>
      </c>
      <c r="F15">
        <f>D15-C15</f>
        <v>-41641</v>
      </c>
      <c r="G15">
        <f>F15/C15*100</f>
        <v>-0.32369224167818428</v>
      </c>
      <c r="H15" s="2">
        <f>(D15-E15)/E15</f>
        <v>1.8685874035652746E-2</v>
      </c>
      <c r="I15">
        <v>18</v>
      </c>
      <c r="J15">
        <v>17</v>
      </c>
      <c r="K15">
        <f>J15-I15</f>
        <v>-1</v>
      </c>
      <c r="L15">
        <v>20</v>
      </c>
      <c r="M15">
        <f>J15+2</f>
        <v>19</v>
      </c>
      <c r="N15">
        <f>M15-L15</f>
        <v>-1</v>
      </c>
      <c r="O15" t="s">
        <v>12</v>
      </c>
      <c r="P15">
        <v>6980</v>
      </c>
      <c r="Q15">
        <v>141</v>
      </c>
      <c r="R15">
        <v>42</v>
      </c>
      <c r="S15" s="4">
        <v>55518.93</v>
      </c>
      <c r="T15">
        <f>D15/S15</f>
        <v>230.96156572181778</v>
      </c>
      <c r="U15">
        <v>13</v>
      </c>
      <c r="V15">
        <v>17.5</v>
      </c>
      <c r="W15">
        <v>10</v>
      </c>
      <c r="X15">
        <v>0.58659039999999996</v>
      </c>
      <c r="Y15">
        <v>12</v>
      </c>
      <c r="Z15" s="5">
        <v>30500000</v>
      </c>
      <c r="AA15" s="6">
        <f>Z15/D15</f>
        <v>2.3785869774000701</v>
      </c>
    </row>
    <row r="16" spans="1:27" x14ac:dyDescent="0.2">
      <c r="A16" t="s">
        <v>24</v>
      </c>
      <c r="B16" t="s">
        <v>98</v>
      </c>
      <c r="C16">
        <v>6501582</v>
      </c>
      <c r="D16" s="1">
        <v>6790280</v>
      </c>
      <c r="E16">
        <v>6754953</v>
      </c>
      <c r="F16">
        <f>D16-C16</f>
        <v>288698</v>
      </c>
      <c r="G16">
        <f>F16/C16*100</f>
        <v>4.4404269606997193</v>
      </c>
      <c r="H16" s="2">
        <f>(D16-E16)/E16</f>
        <v>5.2297921243863576E-3</v>
      </c>
      <c r="I16">
        <v>9</v>
      </c>
      <c r="J16">
        <v>9</v>
      </c>
      <c r="K16">
        <f>J16-I16</f>
        <v>0</v>
      </c>
      <c r="L16">
        <v>11</v>
      </c>
      <c r="M16">
        <f>J16+2</f>
        <v>11</v>
      </c>
      <c r="N16">
        <f>M16-L16</f>
        <v>0</v>
      </c>
      <c r="O16" t="s">
        <v>9</v>
      </c>
      <c r="P16">
        <v>2565</v>
      </c>
      <c r="Q16">
        <v>65</v>
      </c>
      <c r="R16">
        <v>16</v>
      </c>
      <c r="S16" s="4">
        <v>35826.11</v>
      </c>
      <c r="T16">
        <f>D16/S16</f>
        <v>189.53439265384938</v>
      </c>
      <c r="U16">
        <v>17</v>
      </c>
      <c r="V16">
        <v>7.2</v>
      </c>
      <c r="W16">
        <v>32</v>
      </c>
      <c r="X16">
        <v>0.41804950000000002</v>
      </c>
      <c r="Y16">
        <v>36</v>
      </c>
      <c r="Z16" s="5">
        <v>0</v>
      </c>
      <c r="AA16" s="6">
        <f>Z16/D16</f>
        <v>0</v>
      </c>
    </row>
    <row r="17" spans="1:27" x14ac:dyDescent="0.2">
      <c r="A17" t="s">
        <v>25</v>
      </c>
      <c r="B17" t="s">
        <v>97</v>
      </c>
      <c r="C17">
        <v>3053787</v>
      </c>
      <c r="D17" s="1">
        <v>3192406</v>
      </c>
      <c r="E17">
        <v>3163561</v>
      </c>
      <c r="F17">
        <f>D17-C17</f>
        <v>138619</v>
      </c>
      <c r="G17">
        <f>F17/C17*100</f>
        <v>4.5392491355814926</v>
      </c>
      <c r="H17" s="2">
        <f>(D17-E17)/E17</f>
        <v>9.1178896186923531E-3</v>
      </c>
      <c r="I17">
        <v>4</v>
      </c>
      <c r="J17">
        <v>4</v>
      </c>
      <c r="K17">
        <f>J17-I17</f>
        <v>0</v>
      </c>
      <c r="L17">
        <v>6</v>
      </c>
      <c r="M17">
        <f>J17+2</f>
        <v>6</v>
      </c>
      <c r="N17">
        <f>M17-L17</f>
        <v>0</v>
      </c>
      <c r="O17" t="s">
        <v>9</v>
      </c>
      <c r="P17">
        <v>549</v>
      </c>
      <c r="Q17">
        <v>9</v>
      </c>
      <c r="R17">
        <v>2</v>
      </c>
      <c r="S17" s="4">
        <v>55857.13</v>
      </c>
      <c r="T17">
        <f>D17/S17</f>
        <v>57.153061748786591</v>
      </c>
      <c r="U17">
        <v>37</v>
      </c>
      <c r="V17">
        <v>6.3</v>
      </c>
      <c r="W17">
        <v>34</v>
      </c>
      <c r="X17">
        <v>0.4581674</v>
      </c>
      <c r="Y17">
        <v>31</v>
      </c>
      <c r="Z17" s="5">
        <v>0</v>
      </c>
      <c r="AA17" s="6">
        <f>Z17/D17</f>
        <v>0</v>
      </c>
    </row>
    <row r="18" spans="1:27" x14ac:dyDescent="0.2">
      <c r="A18" t="s">
        <v>26</v>
      </c>
      <c r="B18" t="s">
        <v>96</v>
      </c>
      <c r="C18">
        <v>2863813</v>
      </c>
      <c r="D18" s="1">
        <v>2940865</v>
      </c>
      <c r="E18">
        <v>2913805</v>
      </c>
      <c r="F18">
        <f>D18-C18</f>
        <v>77052</v>
      </c>
      <c r="G18">
        <f>F18/C18*100</f>
        <v>2.6905388026383008</v>
      </c>
      <c r="H18" s="2">
        <f>(D18-E18)/E18</f>
        <v>9.2868259886986267E-3</v>
      </c>
      <c r="I18">
        <v>4</v>
      </c>
      <c r="J18">
        <v>4</v>
      </c>
      <c r="K18">
        <f>J18-I18</f>
        <v>0</v>
      </c>
      <c r="L18">
        <v>6</v>
      </c>
      <c r="M18">
        <f>J18+2</f>
        <v>6</v>
      </c>
      <c r="N18">
        <f>M18-L18</f>
        <v>0</v>
      </c>
      <c r="O18" t="s">
        <v>9</v>
      </c>
      <c r="P18">
        <v>482</v>
      </c>
      <c r="Q18">
        <v>10</v>
      </c>
      <c r="R18">
        <v>1</v>
      </c>
      <c r="S18" s="4">
        <v>81758.720000000001</v>
      </c>
      <c r="T18">
        <f>D18/S18</f>
        <v>35.97004698703698</v>
      </c>
      <c r="U18">
        <v>42</v>
      </c>
      <c r="V18">
        <v>12.2</v>
      </c>
      <c r="W18">
        <v>18</v>
      </c>
      <c r="X18">
        <v>0.42506569999999999</v>
      </c>
      <c r="Y18">
        <v>34</v>
      </c>
      <c r="Z18" s="5">
        <v>0</v>
      </c>
      <c r="AA18" s="6">
        <f>Z18/D18</f>
        <v>0</v>
      </c>
    </row>
    <row r="19" spans="1:27" x14ac:dyDescent="0.2">
      <c r="A19" t="s">
        <v>27</v>
      </c>
      <c r="B19" t="s">
        <v>95</v>
      </c>
      <c r="C19">
        <v>4350606</v>
      </c>
      <c r="D19" s="1">
        <v>4509342</v>
      </c>
      <c r="E19">
        <v>4477251</v>
      </c>
      <c r="F19">
        <f>D19-C19</f>
        <v>158736</v>
      </c>
      <c r="G19">
        <f>F19/C19*100</f>
        <v>3.6485951612258156</v>
      </c>
      <c r="H19" s="2">
        <f>(D19-E19)/E19</f>
        <v>7.1675677776385557E-3</v>
      </c>
      <c r="I19">
        <v>6</v>
      </c>
      <c r="J19">
        <v>6</v>
      </c>
      <c r="K19">
        <f>J19-I19</f>
        <v>0</v>
      </c>
      <c r="L19">
        <v>8</v>
      </c>
      <c r="M19">
        <f>J19+2</f>
        <v>8</v>
      </c>
      <c r="N19">
        <f>M19-L19</f>
        <v>0</v>
      </c>
      <c r="O19" t="s">
        <v>9</v>
      </c>
      <c r="P19">
        <v>680</v>
      </c>
      <c r="Q19">
        <v>20</v>
      </c>
      <c r="R19">
        <v>2</v>
      </c>
      <c r="S19" s="4">
        <v>39486.339999999997</v>
      </c>
      <c r="T19">
        <f>D19/S19</f>
        <v>114.2000499413215</v>
      </c>
      <c r="U19">
        <v>24</v>
      </c>
      <c r="V19">
        <v>3.8</v>
      </c>
      <c r="W19">
        <v>45</v>
      </c>
      <c r="X19">
        <v>0.36799900000000002</v>
      </c>
      <c r="Y19">
        <v>44</v>
      </c>
      <c r="Z19" s="5">
        <v>0</v>
      </c>
      <c r="AA19" s="6">
        <f>Z19/D19</f>
        <v>0</v>
      </c>
    </row>
    <row r="20" spans="1:27" x14ac:dyDescent="0.2">
      <c r="A20" t="s">
        <v>28</v>
      </c>
      <c r="B20" t="s">
        <v>94</v>
      </c>
      <c r="C20">
        <v>4553962</v>
      </c>
      <c r="D20" s="1">
        <v>4661468</v>
      </c>
      <c r="E20">
        <v>4645318</v>
      </c>
      <c r="F20">
        <f>D20-C20</f>
        <v>107506</v>
      </c>
      <c r="G20">
        <f>F20/C20*100</f>
        <v>2.3607135940089092</v>
      </c>
      <c r="H20" s="2">
        <f>(D20-E20)/E20</f>
        <v>3.4766188235121902E-3</v>
      </c>
      <c r="I20">
        <v>6</v>
      </c>
      <c r="J20">
        <v>6</v>
      </c>
      <c r="K20">
        <f>J20-I20</f>
        <v>0</v>
      </c>
      <c r="L20">
        <v>8</v>
      </c>
      <c r="M20">
        <f>J20+2</f>
        <v>8</v>
      </c>
      <c r="N20">
        <f>M20-L20</f>
        <v>0</v>
      </c>
      <c r="O20" t="s">
        <v>9</v>
      </c>
      <c r="P20">
        <v>6424</v>
      </c>
      <c r="Q20">
        <v>273</v>
      </c>
      <c r="R20">
        <v>34</v>
      </c>
      <c r="S20" s="4">
        <v>43203.9</v>
      </c>
      <c r="T20">
        <f>D20/S20</f>
        <v>107.89461136610352</v>
      </c>
      <c r="U20">
        <v>27</v>
      </c>
      <c r="V20">
        <v>5.4</v>
      </c>
      <c r="W20">
        <v>38</v>
      </c>
      <c r="X20">
        <v>0.40535559999999998</v>
      </c>
      <c r="Y20">
        <v>39</v>
      </c>
      <c r="Z20" s="5">
        <v>0</v>
      </c>
      <c r="AA20" s="6">
        <f>Z20/D20</f>
        <v>0</v>
      </c>
    </row>
    <row r="21" spans="1:27" x14ac:dyDescent="0.2">
      <c r="A21" t="s">
        <v>29</v>
      </c>
      <c r="B21" t="s">
        <v>93</v>
      </c>
      <c r="C21">
        <v>1333074</v>
      </c>
      <c r="D21" s="1">
        <v>1363582</v>
      </c>
      <c r="E21">
        <v>1350141</v>
      </c>
      <c r="F21">
        <f>D21-C21</f>
        <v>30508</v>
      </c>
      <c r="G21">
        <f>F21/C21*100</f>
        <v>2.2885451220262341</v>
      </c>
      <c r="H21" s="2">
        <f>(D21-E21)/E21</f>
        <v>9.9552565250592348E-3</v>
      </c>
      <c r="I21">
        <v>2</v>
      </c>
      <c r="J21">
        <v>2</v>
      </c>
      <c r="K21">
        <f>J21-I21</f>
        <v>0</v>
      </c>
      <c r="L21">
        <v>4</v>
      </c>
      <c r="M21">
        <f>J21+2</f>
        <v>4</v>
      </c>
      <c r="N21">
        <f>M21-L21</f>
        <v>0</v>
      </c>
      <c r="O21" t="s">
        <v>12</v>
      </c>
      <c r="P21">
        <v>344</v>
      </c>
      <c r="Q21">
        <v>7</v>
      </c>
      <c r="R21">
        <v>2</v>
      </c>
      <c r="S21" s="4">
        <v>30842.92</v>
      </c>
      <c r="T21">
        <f>D21/S21</f>
        <v>44.210535189275205</v>
      </c>
      <c r="U21">
        <v>39</v>
      </c>
      <c r="V21">
        <v>1.7</v>
      </c>
      <c r="W21">
        <v>50</v>
      </c>
      <c r="X21">
        <v>0.54670399999999997</v>
      </c>
      <c r="Y21">
        <v>18</v>
      </c>
      <c r="Z21" s="5">
        <v>0</v>
      </c>
      <c r="AA21" s="6">
        <f>Z21/D21</f>
        <v>0</v>
      </c>
    </row>
    <row r="22" spans="1:27" x14ac:dyDescent="0.2">
      <c r="A22" t="s">
        <v>30</v>
      </c>
      <c r="B22" t="s">
        <v>92</v>
      </c>
      <c r="C22">
        <v>5789929</v>
      </c>
      <c r="D22" s="1">
        <v>6185278</v>
      </c>
      <c r="E22">
        <v>6055802</v>
      </c>
      <c r="F22">
        <f>D22-C22</f>
        <v>395349</v>
      </c>
      <c r="G22">
        <f>F22/C22*100</f>
        <v>6.8282184462020172</v>
      </c>
      <c r="H22" s="2">
        <f>(D22-E22)/E22</f>
        <v>2.1380487671162299E-2</v>
      </c>
      <c r="I22">
        <v>8</v>
      </c>
      <c r="J22">
        <v>8</v>
      </c>
      <c r="K22">
        <f>J22-I22</f>
        <v>0</v>
      </c>
      <c r="L22">
        <v>10</v>
      </c>
      <c r="M22">
        <f>J22+2</f>
        <v>10</v>
      </c>
      <c r="N22">
        <f>M22-L22</f>
        <v>0</v>
      </c>
      <c r="O22" t="s">
        <v>12</v>
      </c>
      <c r="P22">
        <v>1985</v>
      </c>
      <c r="Q22">
        <v>31</v>
      </c>
      <c r="R22">
        <v>13</v>
      </c>
      <c r="S22" s="4">
        <v>9707.24</v>
      </c>
      <c r="T22">
        <f>D22/S22</f>
        <v>637.18193842946096</v>
      </c>
      <c r="U22">
        <v>6</v>
      </c>
      <c r="V22">
        <v>10.6</v>
      </c>
      <c r="W22">
        <v>23</v>
      </c>
      <c r="X22">
        <v>0.67029050000000001</v>
      </c>
      <c r="Y22">
        <v>4</v>
      </c>
      <c r="Z22" s="5">
        <v>5000000</v>
      </c>
      <c r="AA22" s="6">
        <f>Z22/D22</f>
        <v>0.80837110312584171</v>
      </c>
    </row>
    <row r="23" spans="1:27" x14ac:dyDescent="0.2">
      <c r="A23" t="s">
        <v>31</v>
      </c>
      <c r="B23" t="s">
        <v>91</v>
      </c>
      <c r="C23">
        <v>6559644</v>
      </c>
      <c r="D23" s="1">
        <v>7033469</v>
      </c>
      <c r="E23">
        <v>6893574</v>
      </c>
      <c r="F23">
        <f>D23-C23</f>
        <v>473825</v>
      </c>
      <c r="G23">
        <f>F23/C23*100</f>
        <v>7.223334071178253</v>
      </c>
      <c r="H23" s="2">
        <f>(D23-E23)/E23</f>
        <v>2.0293537140531167E-2</v>
      </c>
      <c r="I23">
        <v>9</v>
      </c>
      <c r="J23">
        <v>9</v>
      </c>
      <c r="K23">
        <f>J23-I23</f>
        <v>0</v>
      </c>
      <c r="L23">
        <v>11</v>
      </c>
      <c r="M23">
        <f>J23+2</f>
        <v>11</v>
      </c>
      <c r="N23">
        <f>M23-L23</f>
        <v>0</v>
      </c>
      <c r="O23" t="s">
        <v>12</v>
      </c>
      <c r="P23">
        <v>7738</v>
      </c>
      <c r="Q23">
        <v>122</v>
      </c>
      <c r="R23">
        <v>33</v>
      </c>
      <c r="S23" s="4">
        <v>7800.06</v>
      </c>
      <c r="T23">
        <f>D23/S23</f>
        <v>901.71985856519052</v>
      </c>
      <c r="U23">
        <v>4</v>
      </c>
      <c r="V23">
        <v>12.4</v>
      </c>
      <c r="W23">
        <v>17</v>
      </c>
      <c r="X23">
        <v>0.67115550000000002</v>
      </c>
      <c r="Y23">
        <v>3</v>
      </c>
      <c r="Z23" s="5">
        <v>6650000</v>
      </c>
      <c r="AA23" s="6">
        <f>Z23/D23</f>
        <v>0.94547939288564431</v>
      </c>
    </row>
    <row r="24" spans="1:27" x14ac:dyDescent="0.2">
      <c r="A24" t="s">
        <v>32</v>
      </c>
      <c r="B24" t="s">
        <v>90</v>
      </c>
      <c r="C24">
        <v>9911626</v>
      </c>
      <c r="D24" s="1">
        <v>10084442</v>
      </c>
      <c r="E24">
        <v>9966555</v>
      </c>
      <c r="F24">
        <f>D24-C24</f>
        <v>172816</v>
      </c>
      <c r="G24">
        <f>F24/C24*100</f>
        <v>1.743568613262849</v>
      </c>
      <c r="H24" s="2">
        <f>(D24-E24)/E24</f>
        <v>1.1828259614279959E-2</v>
      </c>
      <c r="I24">
        <v>14</v>
      </c>
      <c r="J24">
        <v>13</v>
      </c>
      <c r="K24">
        <f>J24-I24</f>
        <v>-1</v>
      </c>
      <c r="L24">
        <v>16</v>
      </c>
      <c r="M24">
        <f>J24+2</f>
        <v>15</v>
      </c>
      <c r="N24">
        <f>M24-L24</f>
        <v>-1</v>
      </c>
      <c r="O24" t="s">
        <v>12</v>
      </c>
      <c r="P24">
        <v>9334</v>
      </c>
      <c r="Q24">
        <v>337</v>
      </c>
      <c r="R24">
        <v>78</v>
      </c>
      <c r="S24" s="4">
        <v>56538.9</v>
      </c>
      <c r="T24">
        <f>D24/S24</f>
        <v>178.36289704964193</v>
      </c>
      <c r="U24">
        <v>19</v>
      </c>
      <c r="V24">
        <v>5.3</v>
      </c>
      <c r="W24">
        <v>39</v>
      </c>
      <c r="X24">
        <v>0.51413560000000003</v>
      </c>
      <c r="Y24">
        <v>21</v>
      </c>
      <c r="Z24" s="5">
        <v>16000000</v>
      </c>
      <c r="AA24" s="6">
        <f>Z24/D24</f>
        <v>1.5866024119133215</v>
      </c>
    </row>
    <row r="25" spans="1:27" x14ac:dyDescent="0.2">
      <c r="A25" t="s">
        <v>33</v>
      </c>
      <c r="B25" t="s">
        <v>89</v>
      </c>
      <c r="C25">
        <v>5314879</v>
      </c>
      <c r="D25" s="1">
        <v>5709752</v>
      </c>
      <c r="E25">
        <v>5657342</v>
      </c>
      <c r="F25">
        <f>D25-C25</f>
        <v>394873</v>
      </c>
      <c r="G25">
        <f>F25/C25*100</f>
        <v>7.4295764776582871</v>
      </c>
      <c r="H25" s="2">
        <f>(D25-E25)/E25</f>
        <v>9.2640678254911936E-3</v>
      </c>
      <c r="I25">
        <v>8</v>
      </c>
      <c r="J25">
        <v>8</v>
      </c>
      <c r="K25">
        <f>J25-I25</f>
        <v>0</v>
      </c>
      <c r="L25">
        <v>10</v>
      </c>
      <c r="M25">
        <f>J25+2</f>
        <v>10</v>
      </c>
      <c r="N25">
        <f>M25-L25</f>
        <v>0</v>
      </c>
      <c r="O25" t="s">
        <v>12</v>
      </c>
      <c r="P25">
        <v>742</v>
      </c>
      <c r="Q25">
        <v>18</v>
      </c>
      <c r="R25">
        <v>1</v>
      </c>
      <c r="S25" s="4">
        <v>79626.740000000005</v>
      </c>
      <c r="T25">
        <f>D25/S25</f>
        <v>71.706464436444335</v>
      </c>
      <c r="U25">
        <v>31</v>
      </c>
      <c r="V25">
        <v>5.6</v>
      </c>
      <c r="W25">
        <v>37</v>
      </c>
      <c r="X25">
        <v>0.53639510000000001</v>
      </c>
      <c r="Y25">
        <v>20</v>
      </c>
      <c r="Z25" s="5">
        <v>2170000</v>
      </c>
      <c r="AA25" s="6">
        <f>Z25/D25</f>
        <v>0.38005153288619192</v>
      </c>
    </row>
    <row r="26" spans="1:27" x14ac:dyDescent="0.2">
      <c r="A26" t="s">
        <v>34</v>
      </c>
      <c r="B26" t="s">
        <v>88</v>
      </c>
      <c r="C26">
        <v>2978240</v>
      </c>
      <c r="D26" s="1">
        <v>2963914</v>
      </c>
      <c r="E26">
        <v>2966786</v>
      </c>
      <c r="F26">
        <f>D26-C26</f>
        <v>-14326</v>
      </c>
      <c r="G26">
        <f>F26/C26*100</f>
        <v>-0.48102234876974315</v>
      </c>
      <c r="H26" s="2">
        <f>(D26-E26)/E26</f>
        <v>-9.6805094806298806E-4</v>
      </c>
      <c r="I26">
        <v>4</v>
      </c>
      <c r="J26">
        <v>4</v>
      </c>
      <c r="K26">
        <f>J26-I26</f>
        <v>0</v>
      </c>
      <c r="L26">
        <v>6</v>
      </c>
      <c r="M26">
        <f>J26+2</f>
        <v>6</v>
      </c>
      <c r="N26">
        <f>M26-L26</f>
        <v>0</v>
      </c>
      <c r="O26" t="s">
        <v>9</v>
      </c>
      <c r="P26">
        <v>1177</v>
      </c>
      <c r="Q26">
        <v>26</v>
      </c>
      <c r="R26">
        <v>4</v>
      </c>
      <c r="S26" s="4">
        <v>46923.27</v>
      </c>
      <c r="T26">
        <f>D26/S26</f>
        <v>63.165120418930741</v>
      </c>
      <c r="U26">
        <v>33</v>
      </c>
      <c r="V26">
        <v>3</v>
      </c>
      <c r="W26">
        <v>48</v>
      </c>
      <c r="X26">
        <v>0.41615010000000002</v>
      </c>
      <c r="Y26">
        <v>37</v>
      </c>
      <c r="Z26" s="5">
        <v>400000</v>
      </c>
      <c r="AA26" s="6">
        <f>Z26/D26</f>
        <v>0.13495668227890553</v>
      </c>
    </row>
    <row r="27" spans="1:27" x14ac:dyDescent="0.2">
      <c r="A27" t="s">
        <v>35</v>
      </c>
      <c r="B27" t="s">
        <v>87</v>
      </c>
      <c r="C27">
        <v>6011478</v>
      </c>
      <c r="D27" s="1">
        <v>6160281</v>
      </c>
      <c r="E27">
        <v>6151548</v>
      </c>
      <c r="F27">
        <f>D27-C27</f>
        <v>148803</v>
      </c>
      <c r="G27">
        <f>F27/C27*100</f>
        <v>2.4753147229350252</v>
      </c>
      <c r="H27" s="2">
        <f>(D27-E27)/E27</f>
        <v>1.4196426655534509E-3</v>
      </c>
      <c r="I27">
        <v>8</v>
      </c>
      <c r="J27">
        <v>8</v>
      </c>
      <c r="K27">
        <f>J27-I27</f>
        <v>0</v>
      </c>
      <c r="L27">
        <v>10</v>
      </c>
      <c r="M27">
        <f>J27+2</f>
        <v>10</v>
      </c>
      <c r="N27">
        <f>M27-L27</f>
        <v>0</v>
      </c>
      <c r="O27" t="s">
        <v>9</v>
      </c>
      <c r="P27">
        <v>2819</v>
      </c>
      <c r="Q27">
        <v>18</v>
      </c>
      <c r="R27">
        <v>4</v>
      </c>
      <c r="S27" s="4">
        <v>68741.52</v>
      </c>
      <c r="T27">
        <f>D27/S27</f>
        <v>89.615140893014868</v>
      </c>
      <c r="U27">
        <v>29</v>
      </c>
      <c r="V27">
        <v>4.3</v>
      </c>
      <c r="W27">
        <v>41</v>
      </c>
      <c r="X27">
        <v>0.42164180000000001</v>
      </c>
      <c r="Y27">
        <v>35</v>
      </c>
      <c r="Z27" s="5">
        <v>501650</v>
      </c>
      <c r="AA27" s="6">
        <f>Z27/D27</f>
        <v>8.1432973593250052E-2</v>
      </c>
    </row>
    <row r="28" spans="1:27" x14ac:dyDescent="0.2">
      <c r="A28" t="s">
        <v>36</v>
      </c>
      <c r="B28" t="s">
        <v>86</v>
      </c>
      <c r="C28">
        <v>994416</v>
      </c>
      <c r="D28" s="1">
        <v>1085407</v>
      </c>
      <c r="E28">
        <v>1080577</v>
      </c>
      <c r="F28">
        <f>D28-C28</f>
        <v>90991</v>
      </c>
      <c r="G28">
        <f>F28/C28*100</f>
        <v>9.1501946871329505</v>
      </c>
      <c r="H28" s="2">
        <f>(D28-E28)/E28</f>
        <v>4.4698341719285163E-3</v>
      </c>
      <c r="I28">
        <v>1</v>
      </c>
      <c r="J28">
        <v>2</v>
      </c>
      <c r="K28">
        <f>J28-I28</f>
        <v>1</v>
      </c>
      <c r="L28">
        <v>3</v>
      </c>
      <c r="M28">
        <f>J28+2</f>
        <v>4</v>
      </c>
      <c r="N28">
        <f>M28-L28</f>
        <v>1</v>
      </c>
      <c r="O28" t="s">
        <v>9</v>
      </c>
      <c r="P28">
        <v>228</v>
      </c>
      <c r="Q28">
        <v>5</v>
      </c>
      <c r="R28">
        <v>0</v>
      </c>
      <c r="S28" s="4">
        <v>145545.79999999999</v>
      </c>
      <c r="T28">
        <f>D28/S28</f>
        <v>7.4574944794009861</v>
      </c>
      <c r="U28">
        <v>49</v>
      </c>
      <c r="V28">
        <v>3.8</v>
      </c>
      <c r="W28">
        <v>46</v>
      </c>
      <c r="X28">
        <v>0.41602820000000001</v>
      </c>
      <c r="Y28">
        <v>38</v>
      </c>
      <c r="Z28" s="5">
        <v>635500</v>
      </c>
      <c r="AA28" s="6">
        <f>Z28/D28</f>
        <v>0.58549465776432252</v>
      </c>
    </row>
    <row r="29" spans="1:27" x14ac:dyDescent="0.2">
      <c r="A29" t="s">
        <v>37</v>
      </c>
      <c r="B29" s="3" t="s">
        <v>85</v>
      </c>
      <c r="C29">
        <v>1831825</v>
      </c>
      <c r="D29" s="1">
        <v>1963333</v>
      </c>
      <c r="E29">
        <v>1937552</v>
      </c>
      <c r="F29">
        <f>D29-C29</f>
        <v>131508</v>
      </c>
      <c r="G29">
        <f>F29/C29*100</f>
        <v>7.1790700530891334</v>
      </c>
      <c r="H29" s="2">
        <f>(D29-E29)/E29</f>
        <v>1.330596546570105E-2</v>
      </c>
      <c r="I29">
        <v>3</v>
      </c>
      <c r="J29">
        <v>3</v>
      </c>
      <c r="K29">
        <f>J29-I29</f>
        <v>0</v>
      </c>
      <c r="L29">
        <v>5</v>
      </c>
      <c r="M29">
        <f>J29+2</f>
        <v>5</v>
      </c>
      <c r="N29">
        <f>M29-L29</f>
        <v>0</v>
      </c>
      <c r="O29" t="s">
        <v>9</v>
      </c>
      <c r="P29" s="3">
        <v>214</v>
      </c>
      <c r="Q29" s="3">
        <v>4</v>
      </c>
      <c r="R29" s="3">
        <v>1</v>
      </c>
      <c r="S29" s="4">
        <v>76824.17</v>
      </c>
      <c r="T29">
        <f>D29/S29</f>
        <v>25.556188892115593</v>
      </c>
      <c r="U29">
        <v>44</v>
      </c>
      <c r="V29">
        <v>11.3</v>
      </c>
      <c r="W29">
        <v>20</v>
      </c>
      <c r="X29">
        <v>0.4021595</v>
      </c>
      <c r="Y29">
        <v>40</v>
      </c>
      <c r="AA29" s="6">
        <f>Z29/D29</f>
        <v>0</v>
      </c>
    </row>
    <row r="30" spans="1:27" x14ac:dyDescent="0.2">
      <c r="A30" t="s">
        <v>38</v>
      </c>
      <c r="B30" t="s">
        <v>84</v>
      </c>
      <c r="C30">
        <v>2709432</v>
      </c>
      <c r="D30" s="1">
        <v>3108462</v>
      </c>
      <c r="E30">
        <v>3138259</v>
      </c>
      <c r="F30">
        <f>D30-C30</f>
        <v>399030</v>
      </c>
      <c r="G30">
        <f>F30/C30*100</f>
        <v>14.72744102823027</v>
      </c>
      <c r="H30" s="2">
        <f>(D30-E30)/E30</f>
        <v>-9.4947548943538438E-3</v>
      </c>
      <c r="I30">
        <v>4</v>
      </c>
      <c r="J30">
        <v>4</v>
      </c>
      <c r="K30">
        <f>J30-I30</f>
        <v>0</v>
      </c>
      <c r="L30">
        <v>6</v>
      </c>
      <c r="M30">
        <f>J30+2</f>
        <v>6</v>
      </c>
      <c r="N30">
        <f>M30-L30</f>
        <v>0</v>
      </c>
      <c r="O30" t="s">
        <v>12</v>
      </c>
      <c r="P30">
        <v>1279</v>
      </c>
      <c r="Q30">
        <v>32</v>
      </c>
      <c r="R30">
        <v>6</v>
      </c>
      <c r="S30" s="4">
        <v>109781.18</v>
      </c>
      <c r="T30">
        <f>D30/S30</f>
        <v>28.315071854756891</v>
      </c>
      <c r="U30">
        <v>43</v>
      </c>
      <c r="V30">
        <v>29.2</v>
      </c>
      <c r="W30">
        <v>5</v>
      </c>
      <c r="X30">
        <v>0.5122312</v>
      </c>
      <c r="Y30">
        <v>22</v>
      </c>
      <c r="Z30" s="5">
        <v>5000000</v>
      </c>
      <c r="AA30" s="6">
        <f>Z30/D30</f>
        <v>1.6085125055413256</v>
      </c>
    </row>
    <row r="31" spans="1:27" x14ac:dyDescent="0.2">
      <c r="A31" t="s">
        <v>39</v>
      </c>
      <c r="B31" t="s">
        <v>83</v>
      </c>
      <c r="C31">
        <v>1321445</v>
      </c>
      <c r="D31" s="1">
        <v>1379089</v>
      </c>
      <c r="E31">
        <v>1366275</v>
      </c>
      <c r="F31">
        <f>D31-C31</f>
        <v>57644</v>
      </c>
      <c r="G31">
        <f>F31/C31*100</f>
        <v>4.3621944159613149</v>
      </c>
      <c r="H31" s="2">
        <f>(D31-E31)/E31</f>
        <v>9.3787853836160371E-3</v>
      </c>
      <c r="I31">
        <v>2</v>
      </c>
      <c r="J31">
        <v>2</v>
      </c>
      <c r="K31">
        <f>J31-I31</f>
        <v>0</v>
      </c>
      <c r="L31">
        <v>4</v>
      </c>
      <c r="M31">
        <f>J31+2</f>
        <v>4</v>
      </c>
      <c r="N31">
        <f>M31-L31</f>
        <v>0</v>
      </c>
      <c r="O31" t="s">
        <v>12</v>
      </c>
      <c r="P31">
        <v>415</v>
      </c>
      <c r="Q31">
        <v>4</v>
      </c>
      <c r="R31">
        <v>1</v>
      </c>
      <c r="S31" s="4">
        <v>8952.65</v>
      </c>
      <c r="T31">
        <f>D31/S31</f>
        <v>154.0425460617806</v>
      </c>
      <c r="U31">
        <v>22</v>
      </c>
      <c r="V31">
        <v>4</v>
      </c>
      <c r="W31">
        <v>42</v>
      </c>
      <c r="X31">
        <v>0.53748879999999999</v>
      </c>
      <c r="Y31">
        <v>19</v>
      </c>
      <c r="AA31" s="6">
        <f>Z31/D31</f>
        <v>0</v>
      </c>
    </row>
    <row r="32" spans="1:27" x14ac:dyDescent="0.2">
      <c r="A32" t="s">
        <v>40</v>
      </c>
      <c r="B32" t="s">
        <v>82</v>
      </c>
      <c r="C32">
        <v>8807501</v>
      </c>
      <c r="D32" s="1">
        <v>9294493</v>
      </c>
      <c r="E32">
        <v>8882371</v>
      </c>
      <c r="F32">
        <f>D32-C32</f>
        <v>486992</v>
      </c>
      <c r="G32">
        <f>F32/C32*100</f>
        <v>5.5292869112362295</v>
      </c>
      <c r="H32" s="2">
        <f>(D32-E32)/E32</f>
        <v>4.6397746727759967E-2</v>
      </c>
      <c r="I32">
        <v>12</v>
      </c>
      <c r="J32">
        <v>12</v>
      </c>
      <c r="K32">
        <f>J32-I32</f>
        <v>0</v>
      </c>
      <c r="L32">
        <v>14</v>
      </c>
      <c r="M32">
        <f>J32+2</f>
        <v>14</v>
      </c>
      <c r="N32">
        <f>M32-L32</f>
        <v>0</v>
      </c>
      <c r="O32" t="s">
        <v>12</v>
      </c>
      <c r="P32">
        <v>22255</v>
      </c>
      <c r="Q32">
        <v>355</v>
      </c>
      <c r="R32">
        <v>88</v>
      </c>
      <c r="S32" s="4">
        <v>7354.22</v>
      </c>
      <c r="T32">
        <f>D32/S32</f>
        <v>1263.8312424703095</v>
      </c>
      <c r="U32">
        <v>2</v>
      </c>
      <c r="V32">
        <v>20.9</v>
      </c>
      <c r="W32">
        <v>8</v>
      </c>
      <c r="X32">
        <v>0.58071280000000003</v>
      </c>
      <c r="Y32">
        <v>14</v>
      </c>
      <c r="Z32" s="5">
        <v>9000000</v>
      </c>
      <c r="AA32" s="6">
        <f>Z32/D32</f>
        <v>0.96831532392353192</v>
      </c>
    </row>
    <row r="33" spans="1:27" x14ac:dyDescent="0.2">
      <c r="A33" t="s">
        <v>41</v>
      </c>
      <c r="B33" t="s">
        <v>81</v>
      </c>
      <c r="C33">
        <v>2067273</v>
      </c>
      <c r="D33" s="1">
        <v>2120220</v>
      </c>
      <c r="E33">
        <v>2106319</v>
      </c>
      <c r="F33">
        <f>D33-C33</f>
        <v>52947</v>
      </c>
      <c r="G33">
        <f>F33/C33*100</f>
        <v>2.5612001898152785</v>
      </c>
      <c r="H33" s="2">
        <f>(D33-E33)/E33</f>
        <v>6.5996651029592386E-3</v>
      </c>
      <c r="I33">
        <v>3</v>
      </c>
      <c r="J33">
        <v>3</v>
      </c>
      <c r="K33">
        <f>J33-I33</f>
        <v>0</v>
      </c>
      <c r="L33">
        <v>5</v>
      </c>
      <c r="M33">
        <f>J33+2</f>
        <v>5</v>
      </c>
      <c r="N33">
        <f>M33-L33</f>
        <v>0</v>
      </c>
      <c r="O33" t="s">
        <v>12</v>
      </c>
      <c r="P33">
        <v>363</v>
      </c>
      <c r="Q33">
        <v>6</v>
      </c>
      <c r="R33">
        <v>1</v>
      </c>
      <c r="S33" s="4">
        <v>121298.15</v>
      </c>
      <c r="T33">
        <f>D33/S33</f>
        <v>17.479409207807375</v>
      </c>
      <c r="U33">
        <v>46</v>
      </c>
      <c r="V33">
        <v>49.3</v>
      </c>
      <c r="W33">
        <v>1</v>
      </c>
      <c r="X33">
        <v>0.55518489999999998</v>
      </c>
      <c r="Y33">
        <v>16</v>
      </c>
      <c r="Z33" s="5">
        <v>11500000</v>
      </c>
      <c r="AA33" s="6">
        <f>Z33/D33</f>
        <v>5.4239654375489339</v>
      </c>
    </row>
    <row r="34" spans="1:27" x14ac:dyDescent="0.2">
      <c r="A34" t="s">
        <v>42</v>
      </c>
      <c r="B34" t="s">
        <v>80</v>
      </c>
      <c r="C34">
        <v>19421055</v>
      </c>
      <c r="D34" s="1">
        <v>20215751</v>
      </c>
      <c r="E34">
        <v>19336776</v>
      </c>
      <c r="F34">
        <f>D34-C34</f>
        <v>794696</v>
      </c>
      <c r="G34">
        <f>F34/C34*100</f>
        <v>4.0919301242903643</v>
      </c>
      <c r="H34" s="2">
        <f>(D34-E34)/E34</f>
        <v>4.5456129811919009E-2</v>
      </c>
      <c r="I34">
        <v>27</v>
      </c>
      <c r="J34">
        <v>26</v>
      </c>
      <c r="K34">
        <f>J34-I34</f>
        <v>-1</v>
      </c>
      <c r="L34">
        <v>29</v>
      </c>
      <c r="M34">
        <f>J34+2</f>
        <v>28</v>
      </c>
      <c r="N34">
        <f>M34-L34</f>
        <v>-1</v>
      </c>
      <c r="O34" t="s">
        <v>12</v>
      </c>
      <c r="P34">
        <v>84735</v>
      </c>
      <c r="Q34">
        <v>1672</v>
      </c>
      <c r="R34">
        <v>365</v>
      </c>
      <c r="S34" s="4">
        <v>47126.400000000001</v>
      </c>
      <c r="T34">
        <f>D34/S34</f>
        <v>428.96870968289534</v>
      </c>
      <c r="U34">
        <v>8</v>
      </c>
      <c r="V34">
        <v>19.3</v>
      </c>
      <c r="W34">
        <v>9</v>
      </c>
      <c r="X34">
        <v>0.6171683</v>
      </c>
      <c r="Y34">
        <v>7</v>
      </c>
      <c r="Z34" s="5">
        <v>20000000</v>
      </c>
      <c r="AA34" s="6">
        <f>Z34/D34</f>
        <v>0.98932757927222192</v>
      </c>
    </row>
    <row r="35" spans="1:27" x14ac:dyDescent="0.2">
      <c r="A35" t="s">
        <v>43</v>
      </c>
      <c r="B35" t="s">
        <v>79</v>
      </c>
      <c r="C35">
        <v>9565781</v>
      </c>
      <c r="D35" s="1">
        <v>10453948</v>
      </c>
      <c r="E35">
        <v>10600823</v>
      </c>
      <c r="F35">
        <f>D35-C35</f>
        <v>888167</v>
      </c>
      <c r="G35">
        <f>F35/C35*100</f>
        <v>9.2848351849159005</v>
      </c>
      <c r="H35" s="2">
        <f>(D35-E35)/E35</f>
        <v>-1.3855056347983548E-2</v>
      </c>
      <c r="I35">
        <v>13</v>
      </c>
      <c r="J35">
        <v>14</v>
      </c>
      <c r="K35">
        <f>J35-I35</f>
        <v>1</v>
      </c>
      <c r="L35">
        <v>15</v>
      </c>
      <c r="M35">
        <f>J35+2</f>
        <v>16</v>
      </c>
      <c r="N35">
        <f>M35-L35</f>
        <v>1</v>
      </c>
      <c r="O35" t="s">
        <v>9</v>
      </c>
      <c r="P35">
        <v>1584</v>
      </c>
      <c r="Q35">
        <v>9</v>
      </c>
      <c r="R35">
        <v>1</v>
      </c>
      <c r="S35" s="4">
        <v>48617.91</v>
      </c>
      <c r="T35">
        <f>D35/S35</f>
        <v>215.02257090031225</v>
      </c>
      <c r="U35">
        <v>16</v>
      </c>
      <c r="V35">
        <v>9.8000000000000007</v>
      </c>
      <c r="W35">
        <v>26</v>
      </c>
      <c r="X35">
        <v>0.49315799999999999</v>
      </c>
      <c r="Y35">
        <v>27</v>
      </c>
      <c r="Z35" s="5">
        <v>0</v>
      </c>
      <c r="AA35" s="6">
        <f>Z35/D35</f>
        <v>0</v>
      </c>
    </row>
    <row r="36" spans="1:27" x14ac:dyDescent="0.2">
      <c r="A36" t="s">
        <v>44</v>
      </c>
      <c r="B36" t="s">
        <v>78</v>
      </c>
      <c r="C36">
        <v>675905</v>
      </c>
      <c r="D36" s="1">
        <v>779702</v>
      </c>
      <c r="E36">
        <v>765309</v>
      </c>
      <c r="F36">
        <f>D36-C36</f>
        <v>103797</v>
      </c>
      <c r="G36">
        <f>F36/C36*100</f>
        <v>15.356743921113175</v>
      </c>
      <c r="H36" s="2">
        <f>(D36-E36)/E36</f>
        <v>1.8806782619830684E-2</v>
      </c>
      <c r="I36">
        <v>1</v>
      </c>
      <c r="J36">
        <v>1</v>
      </c>
      <c r="K36">
        <f>J36-I36</f>
        <v>0</v>
      </c>
      <c r="L36">
        <v>3</v>
      </c>
      <c r="M36">
        <f>J36+2</f>
        <v>3</v>
      </c>
      <c r="N36">
        <f>M36-L36</f>
        <v>0</v>
      </c>
      <c r="O36" t="s">
        <v>9</v>
      </c>
      <c r="P36">
        <v>147</v>
      </c>
      <c r="Q36">
        <v>3</v>
      </c>
      <c r="R36">
        <v>0</v>
      </c>
      <c r="S36" s="4">
        <v>69000.800000000003</v>
      </c>
      <c r="T36">
        <f>D36/S36</f>
        <v>11.299897972197423</v>
      </c>
      <c r="U36">
        <v>48</v>
      </c>
      <c r="V36">
        <v>4</v>
      </c>
      <c r="W36">
        <v>43</v>
      </c>
      <c r="X36">
        <v>0.3278259</v>
      </c>
      <c r="Y36">
        <v>49</v>
      </c>
      <c r="Z36" s="5">
        <v>1000000</v>
      </c>
      <c r="AA36" s="6">
        <f>Z36/D36</f>
        <v>1.2825412785910515</v>
      </c>
    </row>
    <row r="37" spans="1:27" x14ac:dyDescent="0.2">
      <c r="A37" t="s">
        <v>45</v>
      </c>
      <c r="B37" t="s">
        <v>77</v>
      </c>
      <c r="C37">
        <v>11568495</v>
      </c>
      <c r="D37" s="1">
        <v>11808848</v>
      </c>
      <c r="E37">
        <v>11693217</v>
      </c>
      <c r="F37">
        <f>D37-C37</f>
        <v>240353</v>
      </c>
      <c r="G37">
        <f>F37/C37*100</f>
        <v>2.0776514144666183</v>
      </c>
      <c r="H37" s="2">
        <f>(D37-E37)/E37</f>
        <v>9.8887243775600854E-3</v>
      </c>
      <c r="I37">
        <v>16</v>
      </c>
      <c r="J37">
        <v>15</v>
      </c>
      <c r="K37">
        <f>J37-I37</f>
        <v>-1</v>
      </c>
      <c r="L37">
        <v>18</v>
      </c>
      <c r="M37">
        <f>J37+2</f>
        <v>17</v>
      </c>
      <c r="N37">
        <f>M37-L37</f>
        <v>-1</v>
      </c>
      <c r="O37" t="s">
        <v>9</v>
      </c>
      <c r="P37">
        <v>2547</v>
      </c>
      <c r="Q37">
        <v>65</v>
      </c>
      <c r="R37">
        <v>10</v>
      </c>
      <c r="S37" s="4">
        <v>40860.69</v>
      </c>
      <c r="T37">
        <f>D37/S37</f>
        <v>289.00265756647769</v>
      </c>
      <c r="U37">
        <v>11</v>
      </c>
      <c r="V37">
        <v>4</v>
      </c>
      <c r="W37">
        <v>44</v>
      </c>
      <c r="X37">
        <v>0.459233</v>
      </c>
      <c r="Y37">
        <v>30</v>
      </c>
      <c r="Z37" s="5">
        <v>0</v>
      </c>
      <c r="AA37" s="6">
        <f>Z37/D37</f>
        <v>0</v>
      </c>
    </row>
    <row r="38" spans="1:27" x14ac:dyDescent="0.2">
      <c r="A38" t="s">
        <v>46</v>
      </c>
      <c r="B38" t="s">
        <v>76</v>
      </c>
      <c r="C38">
        <v>3764882</v>
      </c>
      <c r="D38" s="1">
        <v>3963516</v>
      </c>
      <c r="E38">
        <v>3980783</v>
      </c>
      <c r="F38">
        <f>D38-C38</f>
        <v>198634</v>
      </c>
      <c r="G38">
        <f>F38/C38*100</f>
        <v>5.2759688085841736</v>
      </c>
      <c r="H38" s="2">
        <f>(D38-E38)/E38</f>
        <v>-4.3375888612868377E-3</v>
      </c>
      <c r="I38">
        <v>5</v>
      </c>
      <c r="J38">
        <v>5</v>
      </c>
      <c r="K38">
        <f>J38-I38</f>
        <v>0</v>
      </c>
      <c r="L38">
        <v>7</v>
      </c>
      <c r="M38">
        <f>J38+2</f>
        <v>7</v>
      </c>
      <c r="N38">
        <f>M38-L38</f>
        <v>0</v>
      </c>
      <c r="O38" t="s">
        <v>9</v>
      </c>
      <c r="P38">
        <v>1744</v>
      </c>
      <c r="Q38">
        <v>36</v>
      </c>
      <c r="R38">
        <v>5</v>
      </c>
      <c r="S38" s="4">
        <v>68594.92</v>
      </c>
      <c r="T38">
        <f>D38/S38</f>
        <v>57.781480027967085</v>
      </c>
      <c r="U38">
        <v>36</v>
      </c>
      <c r="V38">
        <v>11.1</v>
      </c>
      <c r="W38">
        <v>21</v>
      </c>
      <c r="X38">
        <v>0.33059959999999999</v>
      </c>
      <c r="Y38">
        <v>48</v>
      </c>
      <c r="Z38" s="5">
        <v>0</v>
      </c>
      <c r="AA38" s="6">
        <f>Z38/D38</f>
        <v>0</v>
      </c>
    </row>
    <row r="39" spans="1:27" x14ac:dyDescent="0.2">
      <c r="A39" t="s">
        <v>47</v>
      </c>
      <c r="B39" t="s">
        <v>75</v>
      </c>
      <c r="C39">
        <v>3848606</v>
      </c>
      <c r="D39" s="1">
        <v>4241500</v>
      </c>
      <c r="E39">
        <v>4241507</v>
      </c>
      <c r="F39">
        <f>D39-C39</f>
        <v>392894</v>
      </c>
      <c r="G39">
        <f>F39/C39*100</f>
        <v>10.208735318710204</v>
      </c>
      <c r="H39" s="2">
        <f>(D39-E39)/E39</f>
        <v>-1.6503568189325161E-6</v>
      </c>
      <c r="I39">
        <v>5</v>
      </c>
      <c r="J39">
        <v>6</v>
      </c>
      <c r="K39">
        <f>J39-I39</f>
        <v>1</v>
      </c>
      <c r="L39">
        <v>7</v>
      </c>
      <c r="M39">
        <f>J39+2</f>
        <v>8</v>
      </c>
      <c r="N39">
        <f>M39-L39</f>
        <v>1</v>
      </c>
      <c r="O39" t="s">
        <v>12</v>
      </c>
      <c r="P39">
        <v>736</v>
      </c>
      <c r="Q39">
        <v>18</v>
      </c>
      <c r="R39">
        <v>0</v>
      </c>
      <c r="S39" s="4">
        <v>95988.01</v>
      </c>
      <c r="T39">
        <f>D39/S39</f>
        <v>44.187810540087249</v>
      </c>
      <c r="U39">
        <v>40</v>
      </c>
      <c r="V39">
        <v>13.4</v>
      </c>
      <c r="W39">
        <v>14</v>
      </c>
      <c r="X39">
        <v>0.58307160000000002</v>
      </c>
      <c r="Y39">
        <v>13</v>
      </c>
      <c r="Z39" s="5">
        <v>7730772</v>
      </c>
      <c r="AA39" s="6">
        <f>Z39/D39</f>
        <v>1.8226504774254391</v>
      </c>
    </row>
    <row r="40" spans="1:27" x14ac:dyDescent="0.2">
      <c r="A40" t="s">
        <v>48</v>
      </c>
      <c r="B40" t="s">
        <v>74</v>
      </c>
      <c r="C40">
        <v>12734905</v>
      </c>
      <c r="D40" s="1">
        <v>13011844</v>
      </c>
      <c r="E40">
        <v>12783254</v>
      </c>
      <c r="F40">
        <f>D40-C40</f>
        <v>276939</v>
      </c>
      <c r="G40">
        <f>F40/C40*100</f>
        <v>2.1746451975888319</v>
      </c>
      <c r="H40" s="2">
        <f>(D40-E40)/E40</f>
        <v>1.7881988420162816E-2</v>
      </c>
      <c r="I40">
        <v>18</v>
      </c>
      <c r="J40">
        <v>17</v>
      </c>
      <c r="K40">
        <f>J40-I40</f>
        <v>-1</v>
      </c>
      <c r="L40">
        <v>20</v>
      </c>
      <c r="M40">
        <f>J40+2</f>
        <v>19</v>
      </c>
      <c r="N40">
        <f>M40-L40</f>
        <v>-1</v>
      </c>
      <c r="O40" t="s">
        <v>12</v>
      </c>
      <c r="P40">
        <v>5805</v>
      </c>
      <c r="Q40">
        <v>74</v>
      </c>
      <c r="R40">
        <v>11</v>
      </c>
      <c r="S40" s="4">
        <v>44742.7</v>
      </c>
      <c r="T40">
        <f>D40/S40</f>
        <v>290.81490388376204</v>
      </c>
      <c r="U40">
        <v>10</v>
      </c>
      <c r="V40">
        <v>7.8</v>
      </c>
      <c r="W40">
        <v>29</v>
      </c>
      <c r="X40">
        <v>0.50589209999999996</v>
      </c>
      <c r="Y40">
        <v>23</v>
      </c>
      <c r="Z40" s="5">
        <v>4000000</v>
      </c>
      <c r="AA40" s="6">
        <f>Z40/D40</f>
        <v>0.30741223150231434</v>
      </c>
    </row>
    <row r="41" spans="1:27" x14ac:dyDescent="0.2">
      <c r="A41" t="s">
        <v>49</v>
      </c>
      <c r="B41" t="s">
        <v>73</v>
      </c>
      <c r="C41">
        <v>1055247</v>
      </c>
      <c r="D41" s="1">
        <v>1098163</v>
      </c>
      <c r="E41">
        <v>1057125</v>
      </c>
      <c r="F41">
        <f>D41-C41</f>
        <v>42916</v>
      </c>
      <c r="G41">
        <f>F41/C41*100</f>
        <v>4.0669151392991401</v>
      </c>
      <c r="H41" s="2">
        <f>(D41-E41)/E41</f>
        <v>3.8820385479484451E-2</v>
      </c>
      <c r="I41">
        <v>2</v>
      </c>
      <c r="J41">
        <v>2</v>
      </c>
      <c r="K41">
        <f>J41-I41</f>
        <v>0</v>
      </c>
      <c r="L41">
        <v>4</v>
      </c>
      <c r="M41">
        <f>J41+2</f>
        <v>4</v>
      </c>
      <c r="N41">
        <f>M41-L41</f>
        <v>0</v>
      </c>
      <c r="O41" t="s">
        <v>12</v>
      </c>
      <c r="P41">
        <v>682</v>
      </c>
      <c r="Q41">
        <v>12</v>
      </c>
      <c r="R41">
        <v>1</v>
      </c>
      <c r="S41" s="4">
        <v>1033.81</v>
      </c>
      <c r="T41">
        <f>D41/S41</f>
        <v>1062.2483821978894</v>
      </c>
      <c r="U41">
        <v>3</v>
      </c>
      <c r="V41">
        <v>16.3</v>
      </c>
      <c r="W41">
        <v>12</v>
      </c>
      <c r="X41">
        <v>0.60599360000000002</v>
      </c>
      <c r="Y41">
        <v>8</v>
      </c>
      <c r="Z41" s="5">
        <v>500000</v>
      </c>
      <c r="AA41" s="6">
        <f>Z41/D41</f>
        <v>0.45530581525693364</v>
      </c>
    </row>
    <row r="42" spans="1:27" x14ac:dyDescent="0.2">
      <c r="A42" t="s">
        <v>50</v>
      </c>
      <c r="B42" t="s">
        <v>72</v>
      </c>
      <c r="C42">
        <v>4645975</v>
      </c>
      <c r="D42" s="1">
        <v>5124712</v>
      </c>
      <c r="E42">
        <v>5218040</v>
      </c>
      <c r="F42">
        <f>D42-C42</f>
        <v>478737</v>
      </c>
      <c r="G42">
        <f>F42/C42*100</f>
        <v>10.304338701779498</v>
      </c>
      <c r="H42" s="2">
        <f>(D42-E42)/E42</f>
        <v>-1.7885642885067957E-2</v>
      </c>
      <c r="I42">
        <v>7</v>
      </c>
      <c r="J42">
        <v>7</v>
      </c>
      <c r="K42">
        <f>J42-I42</f>
        <v>0</v>
      </c>
      <c r="L42">
        <v>9</v>
      </c>
      <c r="M42">
        <f>J42+2</f>
        <v>9</v>
      </c>
      <c r="N42">
        <f>M42-L42</f>
        <v>0</v>
      </c>
      <c r="O42" t="s">
        <v>9</v>
      </c>
      <c r="P42">
        <v>1349</v>
      </c>
      <c r="Q42">
        <v>32</v>
      </c>
      <c r="R42">
        <v>2</v>
      </c>
      <c r="S42" s="4">
        <v>30060.7</v>
      </c>
      <c r="T42">
        <f>D42/S42</f>
        <v>170.47879789891786</v>
      </c>
      <c r="U42">
        <v>20</v>
      </c>
      <c r="V42">
        <v>5.8</v>
      </c>
      <c r="W42">
        <v>35</v>
      </c>
      <c r="X42">
        <v>0.44073390000000001</v>
      </c>
      <c r="Y42">
        <v>33</v>
      </c>
      <c r="Z42" s="5">
        <v>0</v>
      </c>
      <c r="AA42" s="6">
        <f>Z42/D42</f>
        <v>0</v>
      </c>
    </row>
    <row r="43" spans="1:27" x14ac:dyDescent="0.2">
      <c r="A43" t="s">
        <v>51</v>
      </c>
      <c r="B43" t="s">
        <v>71</v>
      </c>
      <c r="C43">
        <v>819761</v>
      </c>
      <c r="D43" s="1">
        <v>887770</v>
      </c>
      <c r="E43">
        <v>892717</v>
      </c>
      <c r="F43">
        <f>D43-C43</f>
        <v>68009</v>
      </c>
      <c r="G43">
        <f>F43/C43*100</f>
        <v>8.2961985261557949</v>
      </c>
      <c r="H43" s="2">
        <f>(D43-E43)/E43</f>
        <v>-5.5415097953774826E-3</v>
      </c>
      <c r="I43">
        <v>1</v>
      </c>
      <c r="J43">
        <v>1</v>
      </c>
      <c r="K43">
        <f>J43-I43</f>
        <v>0</v>
      </c>
      <c r="L43">
        <v>3</v>
      </c>
      <c r="M43">
        <f>J43+2</f>
        <v>3</v>
      </c>
      <c r="N43">
        <f>M43-L43</f>
        <v>0</v>
      </c>
      <c r="O43" t="s">
        <v>9</v>
      </c>
      <c r="P43">
        <v>129</v>
      </c>
      <c r="Q43">
        <v>2</v>
      </c>
      <c r="R43">
        <v>1</v>
      </c>
      <c r="S43" s="4">
        <v>75811</v>
      </c>
      <c r="T43">
        <f>D43/S43</f>
        <v>11.710305892284762</v>
      </c>
      <c r="U43">
        <v>47</v>
      </c>
      <c r="V43">
        <v>3.7</v>
      </c>
      <c r="W43">
        <v>47</v>
      </c>
      <c r="X43">
        <v>0.36565219999999998</v>
      </c>
      <c r="Y43">
        <v>45</v>
      </c>
      <c r="Z43" s="5">
        <v>0</v>
      </c>
      <c r="AA43" s="6">
        <f>Z43/D43</f>
        <v>0</v>
      </c>
    </row>
    <row r="44" spans="1:27" x14ac:dyDescent="0.2">
      <c r="A44" t="s">
        <v>52</v>
      </c>
      <c r="B44" t="s">
        <v>70</v>
      </c>
      <c r="C44">
        <v>6375431</v>
      </c>
      <c r="D44" s="1">
        <v>6916897</v>
      </c>
      <c r="E44">
        <v>6886834</v>
      </c>
      <c r="F44">
        <f>D44-C44</f>
        <v>541466</v>
      </c>
      <c r="G44">
        <f>F44/C44*100</f>
        <v>8.4930101196295578</v>
      </c>
      <c r="H44" s="2">
        <f>(D44-E44)/E44</f>
        <v>4.3652859935349106E-3</v>
      </c>
      <c r="I44">
        <v>9</v>
      </c>
      <c r="J44">
        <v>9</v>
      </c>
      <c r="K44">
        <f>J44-I44</f>
        <v>0</v>
      </c>
      <c r="L44">
        <v>11</v>
      </c>
      <c r="M44">
        <f>J44+2</f>
        <v>11</v>
      </c>
      <c r="N44">
        <f>M44-L44</f>
        <v>0</v>
      </c>
      <c r="O44" t="s">
        <v>9</v>
      </c>
      <c r="P44">
        <v>2240</v>
      </c>
      <c r="Q44">
        <v>23</v>
      </c>
      <c r="R44">
        <v>0</v>
      </c>
      <c r="S44" s="4">
        <v>41234.9</v>
      </c>
      <c r="T44">
        <f>D44/S44</f>
        <v>167.74375589609772</v>
      </c>
      <c r="U44">
        <v>21</v>
      </c>
      <c r="V44">
        <v>5.7</v>
      </c>
      <c r="W44">
        <v>36</v>
      </c>
      <c r="X44">
        <v>0.38172230000000001</v>
      </c>
      <c r="Y44">
        <v>42</v>
      </c>
      <c r="Z44" s="5">
        <v>0</v>
      </c>
      <c r="AA44" s="6">
        <f>Z44/D44</f>
        <v>0</v>
      </c>
    </row>
    <row r="45" spans="1:27" x14ac:dyDescent="0.2">
      <c r="A45" t="s">
        <v>53</v>
      </c>
      <c r="B45" t="s">
        <v>69</v>
      </c>
      <c r="C45">
        <v>25268418</v>
      </c>
      <c r="D45" s="1">
        <v>29183290</v>
      </c>
      <c r="E45">
        <v>29360759</v>
      </c>
      <c r="F45">
        <f>D45-C45</f>
        <v>3914872</v>
      </c>
      <c r="G45">
        <f>F45/C45*100</f>
        <v>15.493142467407338</v>
      </c>
      <c r="H45" s="2">
        <f>(D45-E45)/E45</f>
        <v>-6.0444282111371851E-3</v>
      </c>
      <c r="I45">
        <v>36</v>
      </c>
      <c r="J45">
        <v>38</v>
      </c>
      <c r="K45">
        <f>J45-I45</f>
        <v>2</v>
      </c>
      <c r="L45">
        <v>38</v>
      </c>
      <c r="M45">
        <f>J45+2</f>
        <v>40</v>
      </c>
      <c r="N45">
        <f>M45-L45</f>
        <v>2</v>
      </c>
      <c r="O45" t="s">
        <v>9</v>
      </c>
      <c r="P45">
        <v>3996</v>
      </c>
      <c r="Q45">
        <v>122</v>
      </c>
      <c r="R45">
        <v>21</v>
      </c>
      <c r="S45" s="4">
        <v>261231.71</v>
      </c>
      <c r="T45">
        <f>D45/S45</f>
        <v>111.71419426837576</v>
      </c>
      <c r="U45">
        <v>25</v>
      </c>
      <c r="V45">
        <v>39.700000000000003</v>
      </c>
      <c r="W45">
        <v>2</v>
      </c>
      <c r="X45">
        <v>0.47169280000000002</v>
      </c>
      <c r="Y45">
        <v>29</v>
      </c>
      <c r="Z45" s="5">
        <v>0</v>
      </c>
      <c r="AA45" s="6">
        <f>Z45/D45</f>
        <v>0</v>
      </c>
    </row>
    <row r="46" spans="1:27" x14ac:dyDescent="0.2">
      <c r="A46" t="s">
        <v>54</v>
      </c>
      <c r="B46" t="s">
        <v>68</v>
      </c>
      <c r="C46">
        <v>2770765</v>
      </c>
      <c r="D46" s="1">
        <v>3275252</v>
      </c>
      <c r="E46">
        <v>3249879</v>
      </c>
      <c r="F46">
        <f>D46-C46</f>
        <v>504487</v>
      </c>
      <c r="G46">
        <f>F46/C46*100</f>
        <v>18.207498651094554</v>
      </c>
      <c r="H46" s="2">
        <f>(D46-E46)/E46</f>
        <v>7.8073675973782406E-3</v>
      </c>
      <c r="I46">
        <v>4</v>
      </c>
      <c r="J46">
        <v>4</v>
      </c>
      <c r="K46">
        <f>J46-I46</f>
        <v>0</v>
      </c>
      <c r="L46">
        <v>6</v>
      </c>
      <c r="M46">
        <f>J46+2</f>
        <v>6</v>
      </c>
      <c r="N46">
        <f>M46-L46</f>
        <v>0</v>
      </c>
      <c r="O46" t="s">
        <v>9</v>
      </c>
      <c r="P46">
        <v>1012</v>
      </c>
      <c r="Q46">
        <v>7</v>
      </c>
      <c r="R46">
        <v>2</v>
      </c>
      <c r="S46" s="4">
        <v>82169.62</v>
      </c>
      <c r="T46">
        <f>D46/S46</f>
        <v>39.859646424067684</v>
      </c>
      <c r="U46">
        <v>41</v>
      </c>
      <c r="V46">
        <v>14.4</v>
      </c>
      <c r="W46">
        <v>13</v>
      </c>
      <c r="X46">
        <v>0.39306390000000002</v>
      </c>
      <c r="Y46">
        <v>41</v>
      </c>
      <c r="Z46" s="5">
        <v>1000000</v>
      </c>
      <c r="AA46" s="6">
        <f>Z46/D46</f>
        <v>0.30532001812379628</v>
      </c>
    </row>
    <row r="47" spans="1:27" x14ac:dyDescent="0.2">
      <c r="A47" t="s">
        <v>55</v>
      </c>
      <c r="B47" t="s">
        <v>67</v>
      </c>
      <c r="C47">
        <v>630337</v>
      </c>
      <c r="D47" s="1">
        <v>643503</v>
      </c>
      <c r="E47">
        <v>623347</v>
      </c>
      <c r="F47">
        <f>D47-C47</f>
        <v>13166</v>
      </c>
      <c r="G47">
        <f>F47/C47*100</f>
        <v>2.0887239682899783</v>
      </c>
      <c r="H47" s="2">
        <f>(D47-E47)/E47</f>
        <v>3.233511992517811E-2</v>
      </c>
      <c r="I47">
        <v>1</v>
      </c>
      <c r="J47">
        <v>1</v>
      </c>
      <c r="K47">
        <f>J47-I47</f>
        <v>0</v>
      </c>
      <c r="L47">
        <v>3</v>
      </c>
      <c r="M47">
        <f>J47+2</f>
        <v>3</v>
      </c>
      <c r="N47">
        <f>M47-L47</f>
        <v>0</v>
      </c>
      <c r="O47" t="s">
        <v>12</v>
      </c>
      <c r="P47">
        <v>1706</v>
      </c>
      <c r="Q47">
        <v>41</v>
      </c>
      <c r="R47">
        <v>7</v>
      </c>
      <c r="S47" s="4">
        <v>9216.66</v>
      </c>
      <c r="T47">
        <f>D47/S47</f>
        <v>69.819544173268838</v>
      </c>
      <c r="U47">
        <v>32</v>
      </c>
      <c r="V47">
        <v>2</v>
      </c>
      <c r="W47">
        <v>49</v>
      </c>
      <c r="X47">
        <v>0.68299189999999999</v>
      </c>
      <c r="Y47">
        <v>2</v>
      </c>
      <c r="Z47" s="5">
        <v>0</v>
      </c>
      <c r="AA47" s="6">
        <f>Z47/D47</f>
        <v>0</v>
      </c>
    </row>
    <row r="48" spans="1:27" x14ac:dyDescent="0.2">
      <c r="A48" t="s">
        <v>56</v>
      </c>
      <c r="B48" t="s">
        <v>66</v>
      </c>
      <c r="C48">
        <v>8037736</v>
      </c>
      <c r="D48" s="1">
        <v>8654542</v>
      </c>
      <c r="E48">
        <v>8590563</v>
      </c>
      <c r="F48">
        <f>D48-C48</f>
        <v>616806</v>
      </c>
      <c r="G48">
        <f>F48/C48*100</f>
        <v>7.6738773206783604</v>
      </c>
      <c r="H48" s="2">
        <f>(D48-E48)/E48</f>
        <v>7.4475910368156312E-3</v>
      </c>
      <c r="I48">
        <v>11</v>
      </c>
      <c r="J48">
        <v>11</v>
      </c>
      <c r="K48">
        <f>J48-I48</f>
        <v>0</v>
      </c>
      <c r="L48">
        <v>13</v>
      </c>
      <c r="M48">
        <f>J48+2</f>
        <v>13</v>
      </c>
      <c r="N48">
        <f>M48-L48</f>
        <v>0</v>
      </c>
      <c r="O48" t="s">
        <v>12</v>
      </c>
      <c r="P48">
        <v>321</v>
      </c>
      <c r="Q48">
        <v>16</v>
      </c>
      <c r="R48">
        <v>3</v>
      </c>
      <c r="S48" s="4">
        <v>39490.089999999997</v>
      </c>
      <c r="T48">
        <f>D48/S48</f>
        <v>219.15731263210594</v>
      </c>
      <c r="U48">
        <v>15</v>
      </c>
      <c r="V48">
        <v>9.6999999999999993</v>
      </c>
      <c r="W48">
        <v>27</v>
      </c>
      <c r="X48">
        <v>0.55154689999999995</v>
      </c>
      <c r="Y48">
        <v>17</v>
      </c>
      <c r="Z48" s="5">
        <v>1500000</v>
      </c>
      <c r="AA48" s="6">
        <f>Z48/D48</f>
        <v>0.17331939691320464</v>
      </c>
    </row>
    <row r="49" spans="1:27" x14ac:dyDescent="0.2">
      <c r="A49" t="s">
        <v>57</v>
      </c>
      <c r="B49" t="s">
        <v>65</v>
      </c>
      <c r="C49">
        <v>6753369</v>
      </c>
      <c r="D49" s="1">
        <v>7715946</v>
      </c>
      <c r="E49">
        <v>7693612</v>
      </c>
      <c r="F49">
        <f>D49-C49</f>
        <v>962577</v>
      </c>
      <c r="G49">
        <f>F49/C49*100</f>
        <v>14.25328602657429</v>
      </c>
      <c r="H49" s="2">
        <f>(D49-E49)/E49</f>
        <v>2.9029277795656967E-3</v>
      </c>
      <c r="I49">
        <v>10</v>
      </c>
      <c r="J49">
        <v>10</v>
      </c>
      <c r="K49">
        <f>J49-I49</f>
        <v>0</v>
      </c>
      <c r="L49">
        <v>12</v>
      </c>
      <c r="M49">
        <f>J49+2</f>
        <v>12</v>
      </c>
      <c r="N49">
        <f>M49-L49</f>
        <v>0</v>
      </c>
      <c r="O49" t="s">
        <v>9</v>
      </c>
      <c r="P49">
        <v>5319</v>
      </c>
      <c r="Q49">
        <v>246</v>
      </c>
      <c r="R49">
        <v>51</v>
      </c>
      <c r="S49" s="4">
        <v>66455.520000000004</v>
      </c>
      <c r="T49">
        <f>D49/S49</f>
        <v>116.10692384921522</v>
      </c>
      <c r="U49">
        <v>23</v>
      </c>
      <c r="V49">
        <v>13</v>
      </c>
      <c r="W49">
        <v>15</v>
      </c>
      <c r="X49">
        <v>0.59925499999999998</v>
      </c>
      <c r="Y49">
        <v>10</v>
      </c>
      <c r="Z49" s="5">
        <v>15464000</v>
      </c>
      <c r="AA49" s="6">
        <f>Z49/D49</f>
        <v>2.0041612525541264</v>
      </c>
    </row>
    <row r="50" spans="1:27" x14ac:dyDescent="0.2">
      <c r="A50" t="s">
        <v>58</v>
      </c>
      <c r="B50" t="s">
        <v>64</v>
      </c>
      <c r="C50">
        <v>1859815</v>
      </c>
      <c r="D50" s="1">
        <v>1795045</v>
      </c>
      <c r="E50">
        <v>1784787</v>
      </c>
      <c r="F50">
        <f>D50-C50</f>
        <v>-64770</v>
      </c>
      <c r="G50">
        <f>F50/C50*100</f>
        <v>-3.4826044525934035</v>
      </c>
      <c r="H50" s="2">
        <f>(D50-E50)/E50</f>
        <v>5.7474645433880905E-3</v>
      </c>
      <c r="I50">
        <v>3</v>
      </c>
      <c r="J50">
        <v>2</v>
      </c>
      <c r="K50">
        <f>J50-I50</f>
        <v>-1</v>
      </c>
      <c r="L50">
        <v>5</v>
      </c>
      <c r="M50">
        <f>J50+2</f>
        <v>4</v>
      </c>
      <c r="N50">
        <f>M50-L50</f>
        <v>-1</v>
      </c>
      <c r="O50" t="s">
        <v>9</v>
      </c>
      <c r="P50">
        <v>191</v>
      </c>
      <c r="Q50">
        <v>2</v>
      </c>
      <c r="R50">
        <v>1</v>
      </c>
      <c r="S50" s="4">
        <v>24038.21</v>
      </c>
      <c r="T50">
        <f>D50/S50</f>
        <v>74.674653395573131</v>
      </c>
      <c r="U50">
        <v>30</v>
      </c>
      <c r="V50">
        <v>1.5</v>
      </c>
      <c r="W50">
        <v>51</v>
      </c>
      <c r="X50">
        <v>0.30201470000000002</v>
      </c>
      <c r="Y50">
        <v>50</v>
      </c>
      <c r="Z50" s="5">
        <v>1000000</v>
      </c>
      <c r="AA50" s="6">
        <f>Z50/D50</f>
        <v>0.55708909804489581</v>
      </c>
    </row>
    <row r="51" spans="1:27" x14ac:dyDescent="0.2">
      <c r="A51" t="s">
        <v>59</v>
      </c>
      <c r="B51" t="s">
        <v>63</v>
      </c>
      <c r="C51">
        <v>5698230</v>
      </c>
      <c r="D51" s="1">
        <v>5897473</v>
      </c>
      <c r="E51">
        <v>5832655</v>
      </c>
      <c r="F51">
        <f>D51-C51</f>
        <v>199243</v>
      </c>
      <c r="G51">
        <f>F51/C51*100</f>
        <v>3.4965770072461098</v>
      </c>
      <c r="H51" s="2">
        <f>(D51-E51)/E51</f>
        <v>1.1112949420118283E-2</v>
      </c>
      <c r="I51">
        <v>8</v>
      </c>
      <c r="J51">
        <v>8</v>
      </c>
      <c r="K51">
        <f>J51-I51</f>
        <v>0</v>
      </c>
      <c r="L51">
        <v>10</v>
      </c>
      <c r="M51">
        <f>J51+2</f>
        <v>10</v>
      </c>
      <c r="N51">
        <f>M51-L51</f>
        <v>0</v>
      </c>
      <c r="O51" t="s">
        <v>12</v>
      </c>
      <c r="P51">
        <v>1550</v>
      </c>
      <c r="Q51">
        <v>24</v>
      </c>
      <c r="R51">
        <v>8</v>
      </c>
      <c r="S51" s="4">
        <v>54157.8</v>
      </c>
      <c r="T51">
        <f>D51/S51</f>
        <v>108.8942497664233</v>
      </c>
      <c r="U51">
        <v>26</v>
      </c>
      <c r="V51">
        <v>7.1</v>
      </c>
      <c r="W51">
        <v>33</v>
      </c>
      <c r="X51">
        <v>0.50319060000000004</v>
      </c>
      <c r="Y51">
        <v>24</v>
      </c>
      <c r="Z51" s="5">
        <v>1000000</v>
      </c>
      <c r="AA51" s="6">
        <f>Z51/D51</f>
        <v>0.16956415061162636</v>
      </c>
    </row>
    <row r="52" spans="1:27" x14ac:dyDescent="0.2">
      <c r="A52" t="s">
        <v>60</v>
      </c>
      <c r="B52" t="s">
        <v>62</v>
      </c>
      <c r="C52">
        <v>568300</v>
      </c>
      <c r="D52" s="1">
        <v>577719</v>
      </c>
      <c r="E52">
        <v>582328</v>
      </c>
      <c r="F52">
        <f>D52-C52</f>
        <v>9419</v>
      </c>
      <c r="G52">
        <f>F52/C52*100</f>
        <v>1.6573992609537216</v>
      </c>
      <c r="H52" s="2">
        <f>(D52-E52)/E52</f>
        <v>-7.914783421027324E-3</v>
      </c>
      <c r="I52">
        <v>1</v>
      </c>
      <c r="J52">
        <v>1</v>
      </c>
      <c r="K52">
        <f>J52-I52</f>
        <v>0</v>
      </c>
      <c r="L52">
        <v>3</v>
      </c>
      <c r="M52">
        <f>J52+2</f>
        <v>3</v>
      </c>
      <c r="N52">
        <f>M52-L52</f>
        <v>0</v>
      </c>
      <c r="O52" t="s">
        <v>9</v>
      </c>
      <c r="P52">
        <v>137</v>
      </c>
      <c r="Q52">
        <v>0</v>
      </c>
      <c r="R52">
        <v>0</v>
      </c>
      <c r="S52" s="4">
        <v>97093.14</v>
      </c>
      <c r="T52">
        <f>D52/S52</f>
        <v>5.9501526060440524</v>
      </c>
      <c r="U52">
        <v>50</v>
      </c>
      <c r="V52">
        <v>10.1</v>
      </c>
      <c r="W52">
        <v>24</v>
      </c>
      <c r="X52">
        <v>0.27519569999999999</v>
      </c>
      <c r="Y52">
        <v>51</v>
      </c>
      <c r="Z52" s="5">
        <v>0</v>
      </c>
      <c r="AA52" s="6">
        <f>Z52/D52</f>
        <v>0</v>
      </c>
    </row>
  </sheetData>
  <sortState xmlns:xlrd2="http://schemas.microsoft.com/office/spreadsheetml/2017/richdata2" ref="A2:AA52">
    <sortCondition ref="A2:A5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Cervas</dc:creator>
  <cp:lastModifiedBy>Jonathan Cervas</cp:lastModifiedBy>
  <dcterms:created xsi:type="dcterms:W3CDTF">2021-04-26T21:04:44Z</dcterms:created>
  <dcterms:modified xsi:type="dcterms:W3CDTF">2021-04-29T04:04:11Z</dcterms:modified>
</cp:coreProperties>
</file>